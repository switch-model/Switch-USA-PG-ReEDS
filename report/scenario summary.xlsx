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nergyinnovation.sharepoint.com/sites/Policy-Electricity/Shared Documents/Electricity/Load-Growth/Switch-USA-PG-ReEDS/report/"/>
    </mc:Choice>
  </mc:AlternateContent>
  <xr:revisionPtr revIDLastSave="12" documentId="14_{8F24C7B9-61BD-DB49-BF82-5A0C9A926DDA}" xr6:coauthVersionLast="47" xr6:coauthVersionMax="47" xr10:uidLastSave="{9B239797-DF06-0442-881A-CAC32F1B07B3}"/>
  <bookViews>
    <workbookView xWindow="18660" yWindow="760" windowWidth="22880" windowHeight="19880" xr2:uid="{023A4B6C-4A08-E24A-8297-A440EACD546C}"/>
  </bookViews>
  <sheets>
    <sheet name="cost vs e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S10" i="1" s="1"/>
  <c r="R8" i="1"/>
  <c r="S8" i="1" s="1"/>
  <c r="S5" i="1"/>
  <c r="S6" i="1"/>
  <c r="S7" i="1"/>
  <c r="S9" i="1"/>
  <c r="S11" i="1"/>
  <c r="S4" i="1"/>
  <c r="B3" i="1"/>
  <c r="B4" i="1"/>
  <c r="B2" i="1"/>
  <c r="D4" i="1"/>
  <c r="E4" i="1"/>
  <c r="E3" i="1"/>
  <c r="E2" i="1"/>
  <c r="G2" i="1" s="1"/>
  <c r="D2" i="1"/>
  <c r="C7" i="1" a="1"/>
  <c r="C7" i="1" s="1"/>
  <c r="E7" i="1" s="1"/>
  <c r="C5" i="1" a="1"/>
  <c r="E6" i="1" s="1"/>
  <c r="B6" i="1" l="1"/>
  <c r="B8" i="1"/>
  <c r="B7" i="1"/>
  <c r="H2" i="1"/>
  <c r="E8" i="1"/>
  <c r="G8" i="1" s="1"/>
  <c r="D8" i="1"/>
  <c r="D6" i="1"/>
  <c r="G7" i="1"/>
  <c r="G6" i="1"/>
  <c r="G4" i="1"/>
  <c r="H4" i="1" s="1"/>
  <c r="D7" i="1"/>
  <c r="C5" i="1"/>
  <c r="B5" i="1" l="1"/>
  <c r="F2" i="1" a="1"/>
  <c r="F2" i="1" s="1"/>
  <c r="I8" i="1"/>
  <c r="H6" i="1"/>
  <c r="H8" i="1"/>
  <c r="H7" i="1"/>
  <c r="D5" i="1"/>
  <c r="E5" i="1"/>
  <c r="G5" i="1" s="1"/>
  <c r="I6" i="1" l="1"/>
  <c r="I17" i="1"/>
  <c r="H5" i="1"/>
  <c r="G3" i="1" l="1"/>
  <c r="D3" i="1"/>
  <c r="I4" i="1" l="1"/>
  <c r="I12" i="1"/>
  <c r="I11" i="1"/>
  <c r="I14" i="1"/>
  <c r="I15" i="1" s="1"/>
  <c r="I16" i="1" s="1"/>
  <c r="H3" i="1"/>
  <c r="I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<sst xmlns="http://schemas.openxmlformats.org/spreadsheetml/2006/main" count="48" uniqueCount="39">
  <si>
    <t>scenario</t>
  </si>
  <si>
    <t>emissions (GtCO2/y)</t>
  </si>
  <si>
    <t>high_fossil</t>
  </si>
  <si>
    <t>expected cost ($B/y)</t>
  </si>
  <si>
    <t>peak_fuel_high_fossil</t>
  </si>
  <si>
    <t>low growth</t>
  </si>
  <si>
    <t>low_growth_high_fossil</t>
  </si>
  <si>
    <t>high_fossil_build</t>
  </si>
  <si>
    <t>baseline</t>
  </si>
  <si>
    <t>clean growth share</t>
  </si>
  <si>
    <t>expected</t>
  </si>
  <si>
    <t>peak fuel</t>
  </si>
  <si>
    <t>s20x1</t>
  </si>
  <si>
    <t>diff from base</t>
  </si>
  <si>
    <t>GtCO2</t>
  </si>
  <si>
    <t>case</t>
  </si>
  <si>
    <t>period</t>
  </si>
  <si>
    <t>total_cost</t>
  </si>
  <si>
    <t>clean_TWh</t>
  </si>
  <si>
    <t>dirty_TWh</t>
  </si>
  <si>
    <t>clean</t>
  </si>
  <si>
    <t>clean_build</t>
  </si>
  <si>
    <t>low_growth_clean</t>
  </si>
  <si>
    <t>peak_fuel_clean</t>
  </si>
  <si>
    <t>$B savings</t>
  </si>
  <si>
    <t>conditions</t>
  </si>
  <si>
    <t>label</t>
  </si>
  <si>
    <t/>
  </si>
  <si>
    <t>ee_TWh</t>
  </si>
  <si>
    <t>fossil growth cost</t>
  </si>
  <si>
    <t>clean savings</t>
  </si>
  <si>
    <t>% clean reduction</t>
  </si>
  <si>
    <t>fossil spike cost</t>
  </si>
  <si>
    <t>clean spike reduction</t>
  </si>
  <si>
    <t>high fuel savings</t>
  </si>
  <si>
    <t>diff w/$200 SCC</t>
  </si>
  <si>
    <t>for f in out/{2025,2030/ce}/*/total_cost.txt; do dir=${f:h}; python report/q.py "select split_part('$dir', '/', -1) as case, * from (select period, sum(DispatchEmissions_tCO2_per_typical_yr/1e9) as GtCO2, sum(Energy_GWh_typical_yr*0.001) filter (DispatchEmissions_tCO2_per_typical_yr = 0 and gen_energy_source not in ('imports', 'storage')) as clean_TWh, sum(Energy_GWh_typical_yr*0.001) filter (DispatchEmissions_tCO2_per_typical_yr &gt; 0 and gen_energy_source not in ('imports', 'storage')) as dirty_TWh from '$dir/dispatch_annual_summary.csv' group by 1), (select (total_cost/1e9)*1.03**(2030-2025) as total_cost_B from read_csv('$dir/total_cost.txt', header=false, columns={'total_cost': 'DOUBLE'}))" | tail -n 1; done</t>
  </si>
  <si>
    <t>dir=out/2030/ce/clean; python report/q.py "select period, sum(DeployEEGWh_per_year) * 0.001 as ee_TWh from '$dir/energy_efficiency_investment.csv' group by 1"</t>
  </si>
  <si>
    <t>data query: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</si>
</sst>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&quot; B/y&quot;"/>
    <numFmt numFmtId="166" formatCode="&quot;$&quot;#,##0.00"/>
    <numFmt numFmtId="167" formatCode="0.0%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quotePrefix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6AB2"/>
      <color rgb="FF929292"/>
      <color rgb="FFDAFF00"/>
      <color rgb="FF000000"/>
      <color rgb="FFCB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67482068899615"/>
          <c:y val="3.6660948239382853E-2"/>
          <c:w val="0.64848529504873142"/>
          <c:h val="0.77990332719009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'cost vs emissions'!$A$5</c:f>
              <c:strCache>
                <c:ptCount val="1"/>
                <c:pt idx="0">
                  <c:v>peak fuel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F98B907-CBC6-C047-942B-440A6DA260A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0ED00DA-FEBA-8141-B13E-12795B73C24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2C9-2648-9AA5-6DBAB32288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B2D045-96EE-EB43-A77D-2575C9B871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155FA133-700C-1B42-80EF-D7B46A7389F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00-9546-B362-9AC648E0D3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emissions'!$D$5:$D$6</c:f>
              <c:numCache>
                <c:formatCode>0.00</c:formatCode>
                <c:ptCount val="2"/>
                <c:pt idx="0">
                  <c:v>1.8811821233644299</c:v>
                </c:pt>
                <c:pt idx="1">
                  <c:v>1.1311641095226399</c:v>
                </c:pt>
              </c:numCache>
            </c:numRef>
          </c:xVal>
          <c:yVal>
            <c:numRef>
              <c:f>'cost vs emissions'!$G$5:$G$6</c:f>
              <c:numCache>
                <c:formatCode>"$"#,##0.0" B/y"</c:formatCode>
                <c:ptCount val="2"/>
                <c:pt idx="0">
                  <c:v>70.250764043747012</c:v>
                </c:pt>
                <c:pt idx="1">
                  <c:v>56.772947892443028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2D00-9546-B362-9AC648E0D37F}"/>
            </c:ext>
          </c:extLst>
        </c:ser>
        <c:ser>
          <c:idx val="2"/>
          <c:order val="1"/>
          <c:tx>
            <c:strRef>
              <c:f>'cost vs emissions'!$A$3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0431FB3-8C77-CC4C-B5C7-010E465C59C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A24BA1B-8D53-5A4D-8D91-CF18D47007F7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D00-9546-B362-9AC648E0D3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F83A6B-2E07-D04A-BEEF-F700609504D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5832974-8BB9-2F45-B214-D713BF4312CA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D00-9546-B362-9AC648E0D3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emissions'!$D$3:$D$4</c:f>
              <c:numCache>
                <c:formatCode>0.00</c:formatCode>
                <c:ptCount val="2"/>
                <c:pt idx="0">
                  <c:v>1.84284793310867</c:v>
                </c:pt>
                <c:pt idx="1">
                  <c:v>1.13069976554854</c:v>
                </c:pt>
              </c:numCache>
            </c:numRef>
          </c:xVal>
          <c:yVal>
            <c:numRef>
              <c:f>'cost vs emissions'!$G$3:$G$4</c:f>
              <c:numCache>
                <c:formatCode>"$"#,##0.0" B/y"</c:formatCode>
                <c:ptCount val="2"/>
                <c:pt idx="0">
                  <c:v>29.705229425086003</c:v>
                </c:pt>
                <c:pt idx="1">
                  <c:v>24.645689469813021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2D00-9546-B362-9AC648E0D37F}"/>
            </c:ext>
          </c:extLst>
        </c:ser>
        <c:ser>
          <c:idx val="1"/>
          <c:order val="2"/>
          <c:tx>
            <c:strRef>
              <c:f>'cost vs emissions'!$A$7</c:f>
              <c:strCache>
                <c:ptCount val="1"/>
                <c:pt idx="0">
                  <c:v>low growth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6214848523405396E-2"/>
                  <c:y val="-6.4816001400932077E-2"/>
                </c:manualLayout>
              </c:layout>
              <c:tx>
                <c:rich>
                  <a:bodyPr/>
                  <a:lstStyle/>
                  <a:p>
                    <a:fld id="{B4FA9C32-54DE-4940-AD21-387A1A1F94A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F513F17-FBDB-464C-8080-7F9F696601D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2C9-2648-9AA5-6DBAB32288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F41EA6-378C-3540-BA08-1C43F06D1D4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92EE9E3-6748-A24C-8BE9-38C358B1B53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2C9-2648-9AA5-6DBAB3228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emissions'!$D$7:$D$8</c:f>
              <c:numCache>
                <c:formatCode>0.00</c:formatCode>
                <c:ptCount val="2"/>
                <c:pt idx="0">
                  <c:v>1.58309575582479</c:v>
                </c:pt>
                <c:pt idx="1">
                  <c:v>0.92198577445123198</c:v>
                </c:pt>
              </c:numCache>
            </c:numRef>
          </c:xVal>
          <c:yVal>
            <c:numRef>
              <c:f>'cost vs emissions'!$G$7:$G$8</c:f>
              <c:numCache>
                <c:formatCode>"$"#,##0.0" B/y"</c:formatCode>
                <c:ptCount val="2"/>
                <c:pt idx="0">
                  <c:v>7.8543927114540111</c:v>
                </c:pt>
                <c:pt idx="1">
                  <c:v>5.2274474399100086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2D00-9546-B362-9AC648E0D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81936"/>
        <c:axId val="430429456"/>
      </c:scatterChart>
      <c:valAx>
        <c:axId val="429981936"/>
        <c:scaling>
          <c:orientation val="minMax"/>
          <c:min val="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r>
                  <a:rPr lang="en-US"/>
                  <a:t>2030 emissions (GtCO2/y)</a:t>
                </a:r>
              </a:p>
            </c:rich>
          </c:tx>
          <c:layout>
            <c:manualLayout>
              <c:xMode val="edge"/>
              <c:yMode val="edge"/>
              <c:x val="0.32487901769283517"/>
              <c:y val="0.93656848449499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430429456"/>
        <c:crosses val="autoZero"/>
        <c:crossBetween val="midCat"/>
        <c:majorUnit val="0.25"/>
      </c:valAx>
      <c:valAx>
        <c:axId val="430429456"/>
        <c:scaling>
          <c:orientation val="minMax"/>
          <c:max val="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r>
                  <a:rPr lang="en-US"/>
                  <a:t>Difference in cost from 2025 ($B/y)</a:t>
                </a:r>
              </a:p>
            </c:rich>
          </c:tx>
          <c:layout>
            <c:manualLayout>
              <c:xMode val="edge"/>
              <c:yMode val="edge"/>
              <c:x val="4.4344015381700717E-4"/>
              <c:y val="3.80096237970253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&quot; 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42998193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30733684238654"/>
          <c:y val="0.34400266356735981"/>
          <c:w val="0.18769266315761352"/>
          <c:h val="0.2116693816308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50787539742124"/>
          <c:y val="2.55879529637629E-2"/>
          <c:w val="0.64601969028195405"/>
          <c:h val="0.81957010368304395"/>
        </c:manualLayout>
      </c:layout>
      <c:scatterChart>
        <c:scatterStyle val="lineMarker"/>
        <c:varyColors val="0"/>
        <c:ser>
          <c:idx val="1"/>
          <c:order val="0"/>
          <c:tx>
            <c:strRef>
              <c:f>'cost vs emissions'!$A$5</c:f>
              <c:strCache>
                <c:ptCount val="1"/>
                <c:pt idx="0">
                  <c:v>peak fuel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6.1810266880702409E-2"/>
                  <c:y val="9.085787887625156E-2"/>
                </c:manualLayout>
              </c:layout>
              <c:tx>
                <c:rich>
                  <a:bodyPr/>
                  <a:lstStyle/>
                  <a:p>
                    <a:fld id="{70D40381-D42A-7C4F-8F1C-BDD4128200B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6A1D865-F80E-7247-94CD-415A7C8D4129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03689236111111"/>
                      <c:h val="0.1612654320987654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CBD-3847-A90D-07E7B03B8167}"/>
                </c:ext>
              </c:extLst>
            </c:dLbl>
            <c:dLbl>
              <c:idx val="1"/>
              <c:layout>
                <c:manualLayout>
                  <c:x val="-5.3117994039807527E-2"/>
                  <c:y val="-9.2214202391367739E-2"/>
                </c:manualLayout>
              </c:layout>
              <c:tx>
                <c:rich>
                  <a:bodyPr/>
                  <a:lstStyle/>
                  <a:p>
                    <a:fld id="{063639E1-85DD-624D-BCF4-7754728ABA6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D5EE229-FC3E-BF4A-92B8-AF86AC405FF6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CBD-3847-A90D-07E7B03B8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emissions'!$F$5:$F$6</c:f>
              <c:numCache>
                <c:formatCode>0%</c:formatCode>
                <c:ptCount val="2"/>
                <c:pt idx="0">
                  <c:v>0.38703453823810741</c:v>
                </c:pt>
                <c:pt idx="1">
                  <c:v>1.6089671398070815</c:v>
                </c:pt>
              </c:numCache>
            </c:numRef>
          </c:xVal>
          <c:yVal>
            <c:numRef>
              <c:f>'cost vs emissions'!$G$5:$G$8</c:f>
              <c:numCache>
                <c:formatCode>"$"#,##0.0" B/y"</c:formatCode>
                <c:ptCount val="4"/>
                <c:pt idx="0">
                  <c:v>70.250764043747012</c:v>
                </c:pt>
                <c:pt idx="1">
                  <c:v>56.772947892443028</c:v>
                </c:pt>
                <c:pt idx="2">
                  <c:v>7.8543927114540111</c:v>
                </c:pt>
                <c:pt idx="3">
                  <c:v>5.2274474399100086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5CBD-3847-A90D-07E7B03B8167}"/>
            </c:ext>
          </c:extLst>
        </c:ser>
        <c:ser>
          <c:idx val="2"/>
          <c:order val="1"/>
          <c:tx>
            <c:strRef>
              <c:f>'cost vs emissions'!$A$3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5609870055305585E-2"/>
                  <c:y val="-6.8286915524448336E-2"/>
                </c:manualLayout>
              </c:layout>
              <c:tx>
                <c:rich>
                  <a:bodyPr/>
                  <a:lstStyle/>
                  <a:p>
                    <a:fld id="{7D10E734-0D91-6043-99B1-89F9509DCA5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5829B0C-5082-2049-8506-C323068FE54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CBD-3847-A90D-07E7B03B81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8B0C88-5B11-6A43-8BDA-B6D55B631D0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C3801D7-B455-8244-9292-62BF25F886B7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CBD-3847-A90D-07E7B03B8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emissions'!$F$3:$F$4</c:f>
              <c:numCache>
                <c:formatCode>0%</c:formatCode>
                <c:ptCount val="2"/>
                <c:pt idx="0">
                  <c:v>0.38643693040768434</c:v>
                </c:pt>
                <c:pt idx="1">
                  <c:v>1.6014004180371062</c:v>
                </c:pt>
              </c:numCache>
            </c:numRef>
          </c:xVal>
          <c:yVal>
            <c:numRef>
              <c:f>('cost vs emissions'!$G$3:$G$4,'cost vs emissions'!$G$7:$G$8)</c:f>
              <c:numCache>
                <c:formatCode>"$"#,##0.0" B/y"</c:formatCode>
                <c:ptCount val="4"/>
                <c:pt idx="0">
                  <c:v>29.705229425086003</c:v>
                </c:pt>
                <c:pt idx="1">
                  <c:v>24.645689469813021</c:v>
                </c:pt>
                <c:pt idx="2">
                  <c:v>7.8543927114540111</c:v>
                </c:pt>
                <c:pt idx="3">
                  <c:v>5.2274474399100086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CBD-3847-A90D-07E7B03B8167}"/>
            </c:ext>
          </c:extLst>
        </c:ser>
        <c:ser>
          <c:idx val="0"/>
          <c:order val="2"/>
          <c:tx>
            <c:strRef>
              <c:f>'cost vs emissions'!$A$7</c:f>
              <c:strCache>
                <c:ptCount val="1"/>
                <c:pt idx="0">
                  <c:v>low growth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3757191483877015E-2"/>
                  <c:y val="-6.636968989987363E-2"/>
                </c:manualLayout>
              </c:layout>
              <c:tx>
                <c:rich>
                  <a:bodyPr/>
                  <a:lstStyle/>
                  <a:p>
                    <a:fld id="{A90A62DC-7BA0-CE48-BDAF-52C7FAC5C32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8C9C3BC-37E1-CD4E-A26E-F0D801100413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A9C-EE46-AF3F-A76C421A4C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DD6B76-21C8-4840-AABB-18BB3A46371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F942BD0-0490-0849-8585-3DA674CDA1E0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A9C-EE46-AF3F-A76C421A4C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'cost vs emissions'!$F$7:$F$8</c:f>
              <c:numCache>
                <c:formatCode>0%</c:formatCode>
                <c:ptCount val="2"/>
                <c:pt idx="0">
                  <c:v>1.066043267390884</c:v>
                </c:pt>
                <c:pt idx="1">
                  <c:v>4.3768768088682908</c:v>
                </c:pt>
              </c:numCache>
            </c:numRef>
          </c:xVal>
          <c:yVal>
            <c:numRef>
              <c:f>'cost vs emissions'!$G$7:$G$8</c:f>
              <c:numCache>
                <c:formatCode>"$"#,##0.0" B/y"</c:formatCode>
                <c:ptCount val="2"/>
                <c:pt idx="0">
                  <c:v>7.8543927114540111</c:v>
                </c:pt>
                <c:pt idx="1">
                  <c:v>5.2274474399100086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'cost vs emissions'!$B$3:$B$4</c15:f>
                <c15:dlblRangeCache>
                  <c:ptCount val="2"/>
                  <c:pt idx="0">
                    <c:v>High Fossil</c:v>
                  </c:pt>
                  <c:pt idx="1">
                    <c:v>Clean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A9C-EE46-AF3F-A76C421A4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81936"/>
        <c:axId val="430429456"/>
      </c:scatterChart>
      <c:valAx>
        <c:axId val="4299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r>
                  <a:rPr lang="en-US"/>
                  <a:t>Share of 2025-2030 load growth met with clean power and efficiency</a:t>
                </a:r>
              </a:p>
            </c:rich>
          </c:tx>
          <c:layout>
            <c:manualLayout>
              <c:xMode val="edge"/>
              <c:yMode val="edge"/>
              <c:x val="8.6655916057367832E-2"/>
              <c:y val="0.93808641975308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430429456"/>
        <c:crosses val="autoZero"/>
        <c:crossBetween val="midCat"/>
      </c:valAx>
      <c:valAx>
        <c:axId val="430429456"/>
        <c:scaling>
          <c:orientation val="minMax"/>
          <c:max val="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r>
                  <a:rPr lang="en-US"/>
                  <a:t>Difference in cost from 2025 ($B/y)</a:t>
                </a:r>
              </a:p>
            </c:rich>
          </c:tx>
          <c:layout>
            <c:manualLayout>
              <c:xMode val="edge"/>
              <c:yMode val="edge"/>
              <c:x val="3.7507518591426065E-4"/>
              <c:y val="5.780937105084086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&quot; 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42998193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54603663546799"/>
          <c:y val="0.33564611577349945"/>
          <c:w val="0.17630972827888439"/>
          <c:h val="0.22191613228261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67482068899615"/>
          <c:y val="2.7848140690049063E-2"/>
          <c:w val="0.64538666543771228"/>
          <c:h val="0.79985804835348595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'cost vs emissions'!$A$3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'cost vs emissions'!$D$3:$D$4</c:f>
              <c:numCache>
                <c:formatCode>0.00</c:formatCode>
                <c:ptCount val="2"/>
                <c:pt idx="0">
                  <c:v>1.84284793310867</c:v>
                </c:pt>
                <c:pt idx="1">
                  <c:v>1.13069976554854</c:v>
                </c:pt>
              </c:numCache>
            </c:numRef>
          </c:xVal>
          <c:yVal>
            <c:numRef>
              <c:f>'cost vs emissions'!$H$3:$H$4</c:f>
              <c:numCache>
                <c:formatCode>0.00</c:formatCode>
                <c:ptCount val="2"/>
                <c:pt idx="0">
                  <c:v>88.09113800004198</c:v>
                </c:pt>
                <c:pt idx="1">
                  <c:v>-59.398035467257003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49-114D-B4CA-BAA1A60067D8}"/>
            </c:ext>
          </c:extLst>
        </c:ser>
        <c:ser>
          <c:idx val="0"/>
          <c:order val="1"/>
          <c:tx>
            <c:strRef>
              <c:f>'cost vs emissions'!$A$5</c:f>
              <c:strCache>
                <c:ptCount val="1"/>
                <c:pt idx="0">
                  <c:v>peak fuel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'cost vs emissions'!$D$5:$D$6</c:f>
              <c:numCache>
                <c:formatCode>0.00</c:formatCode>
                <c:ptCount val="2"/>
                <c:pt idx="0">
                  <c:v>1.8811821233644299</c:v>
                </c:pt>
                <c:pt idx="1">
                  <c:v>1.1311641095226399</c:v>
                </c:pt>
              </c:numCache>
            </c:numRef>
          </c:xVal>
          <c:yVal>
            <c:numRef>
              <c:f>'cost vs emissions'!$H$5:$H$6</c:f>
              <c:numCache>
                <c:formatCode>0.00</c:formatCode>
                <c:ptCount val="2"/>
                <c:pt idx="0">
                  <c:v>136.30351066985497</c:v>
                </c:pt>
                <c:pt idx="1">
                  <c:v>-27.177908249807018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49-114D-B4CA-BAA1A60067D8}"/>
            </c:ext>
          </c:extLst>
        </c:ser>
        <c:ser>
          <c:idx val="1"/>
          <c:order val="2"/>
          <c:tx>
            <c:strRef>
              <c:f>'cost vs emissions'!$A$7</c:f>
              <c:strCache>
                <c:ptCount val="1"/>
                <c:pt idx="0">
                  <c:v>low growth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'cost vs emissions'!$D$7:$D$8</c:f>
              <c:numCache>
                <c:formatCode>0.00</c:formatCode>
                <c:ptCount val="2"/>
                <c:pt idx="0">
                  <c:v>1.58309575582479</c:v>
                </c:pt>
                <c:pt idx="1">
                  <c:v>0.92198577445123198</c:v>
                </c:pt>
              </c:numCache>
            </c:numRef>
          </c:xVal>
          <c:yVal>
            <c:numRef>
              <c:f>'cost vs emissions'!$H$7:$H$8</c:f>
              <c:numCache>
                <c:formatCode>0.00</c:formatCode>
                <c:ptCount val="2"/>
                <c:pt idx="0">
                  <c:v>14.289865829633991</c:v>
                </c:pt>
                <c:pt idx="1">
                  <c:v>-120.55907571662162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49-114D-B4CA-BAA1A600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81936"/>
        <c:axId val="430429456"/>
      </c:scatterChart>
      <c:valAx>
        <c:axId val="429981936"/>
        <c:scaling>
          <c:orientation val="minMax"/>
          <c:max val="2"/>
          <c:min val="0.750000000000000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2030 emissions (GtCO2/y)</a:t>
                </a:r>
              </a:p>
            </c:rich>
          </c:tx>
          <c:layout>
            <c:manualLayout>
              <c:xMode val="edge"/>
              <c:yMode val="edge"/>
              <c:x val="0.33882272957638543"/>
              <c:y val="0.93348206474190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29456"/>
        <c:crossesAt val="-150"/>
        <c:crossBetween val="midCat"/>
        <c:majorUnit val="0.25"/>
      </c:valAx>
      <c:valAx>
        <c:axId val="4304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  <a:r>
                  <a:rPr lang="en-US" baseline="0"/>
                  <a:t> d</a:t>
                </a:r>
                <a:r>
                  <a:rPr lang="en-US"/>
                  <a:t>ifference from 2025 </a:t>
                </a:r>
                <a:r>
                  <a:rPr lang="en-US" baseline="0"/>
                  <a:t> incl. SCC</a:t>
                </a:r>
                <a:r>
                  <a:rPr lang="en-US"/>
                  <a:t> ($B/y)</a:t>
                </a:r>
              </a:p>
            </c:rich>
          </c:tx>
          <c:layout>
            <c:manualLayout>
              <c:xMode val="edge"/>
              <c:yMode val="edge"/>
              <c:x val="1.2510238816499143E-3"/>
              <c:y val="4.1242305012239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&quot; 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8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34962330513284"/>
          <c:y val="0.12394690499570218"/>
          <c:w val="0.14205482085617008"/>
          <c:h val="0.2116693816308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357909</xdr:colOff>
      <xdr:row>13</xdr:row>
      <xdr:rowOff>127003</xdr:rowOff>
    </xdr:from>
    <xdr:to>
      <xdr:col>6</xdr:col>
      <xdr:colOff>762000</xdr:colOff>
      <xdr:row>33</xdr:row>
      <xdr:rowOff>85439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F61053-51A9-D94D-A4D0-A2BFEF928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392543</xdr:colOff>
      <xdr:row>36</xdr:row>
      <xdr:rowOff>69272</xdr:rowOff>
    </xdr:from>
    <xdr:to>
      <xdr:col>6</xdr:col>
      <xdr:colOff>792385</xdr:colOff>
      <xdr:row>56</xdr:row>
      <xdr:rowOff>27709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9FA23B-ADFF-3B46-BBEA-DA717D635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415637</xdr:colOff>
      <xdr:row>19</xdr:row>
      <xdr:rowOff>1</xdr:rowOff>
    </xdr:from>
    <xdr:to>
      <xdr:col>21</xdr:col>
      <xdr:colOff>113145</xdr:colOff>
      <xdr:row>40</xdr:row>
      <xdr:rowOff>195118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5000C4-1F4C-5E40-AB40-030E83E9A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0.91127</cdr:x>
      <cdr:y>0.82679</cdr:y>
    </cdr:from>
    <cdr:to>
      <cdr:x>1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738E25E4-54EA-4681-FFFA-E34BB114F25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469909" y="3402076"/>
          <a:ext cx="727364" cy="71272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0.27281</cdr:x>
      <cdr:y>0.02806</cdr:y>
    </cdr:from>
    <cdr:to>
      <cdr:x>0.27281</cdr:x>
      <cdr:y>0.84736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DDEB89D-A5D0-8225-6A8F-D18A20185B1D}"/>
            </a:ext>
          </a:extLst>
        </cdr:cNvPr>
        <cdr:cNvCxnSpPr/>
      </cdr:nvCxnSpPr>
      <cdr:spPr>
        <a:xfrm xmlns:a="http://schemas.openxmlformats.org/drawingml/2006/main">
          <a:off x="2235170" y="115455"/>
          <a:ext cx="0" cy="337127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F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0.91158</cdr:x>
      <cdr:y>0.82679</cdr:y>
    </cdr:from>
    <cdr:to>
      <cdr:x>1</cdr:x>
      <cdr:y>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6556284B-B76F-DCE4-ACA1-27D85783795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468616" y="3402076"/>
          <a:ext cx="724408" cy="71272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0.14272</cdr:x>
      <cdr:y>0.42796</cdr:y>
    </cdr:from>
    <cdr:to>
      <cdr:x>0.78979</cdr:x>
      <cdr:y>0.42796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92E94DC-C091-92A8-B23F-E0D9420B6428}"/>
            </a:ext>
          </a:extLst>
        </cdr:cNvPr>
        <cdr:cNvCxnSpPr/>
      </cdr:nvCxnSpPr>
      <cdr:spPr>
        <a:xfrm xmlns:a="http://schemas.openxmlformats.org/drawingml/2006/main">
          <a:off x="1362362" y="1951182"/>
          <a:ext cx="6176818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18AE-BB94-6E44-8D91-8B7316D18574}">
  <sheetPr codeName="Sheet1"/>
  <dimension ref="A1:S32"/>
  <sheetViews>
    <sheetView tabSelected="1" topLeftCell="H1" zoomScale="110" zoomScaleNormal="110" workbookViewId="0">
      <selection activeCell="L1" sqref="L1"/>
    </sheetView>
  </sheetViews>
  <sheetFormatPr baseColWidth="10" defaultRowHeight="16" x14ac:dyDescent="0.2"/>
  <cols>
    <col min="1" max="2" width="18.6640625" customWidth="1"/>
    <col min="3" max="3" width="20.1640625" customWidth="1"/>
    <col min="4" max="4" width="19.6640625" customWidth="1"/>
    <col min="5" max="5" width="14.1640625" customWidth="1"/>
    <col min="8" max="8" width="12.6640625" bestFit="1" customWidth="1"/>
    <col min="9" max="10" width="12.6640625" customWidth="1"/>
    <col min="12" max="12" width="20" customWidth="1"/>
    <col min="13" max="13" width="11" customWidth="1"/>
  </cols>
  <sheetData>
    <row r="1" spans="1:19" x14ac:dyDescent="0.2">
      <c r="A1" t="s">
        <v>25</v>
      </c>
      <c r="B1" t="s">
        <v>26</v>
      </c>
      <c r="C1" t="s">
        <v>0</v>
      </c>
      <c r="D1" t="s">
        <v>1</v>
      </c>
      <c r="E1" t="s">
        <v>3</v>
      </c>
      <c r="F1" t="s">
        <v>9</v>
      </c>
      <c r="G1" t="s">
        <v>13</v>
      </c>
      <c r="H1" t="s">
        <v>35</v>
      </c>
      <c r="I1" t="s">
        <v>24</v>
      </c>
      <c r="L1" s="9" t="s">
        <v>38</v>
      </c>
      <c r="M1" s="10" t="s">
        <v>36</v>
      </c>
      <c r="Q1" s="6" t="s">
        <v>27</v>
      </c>
      <c r="R1" s="9" t="s">
        <v>38</v>
      </c>
      <c r="S1" s="10" t="s">
        <v>37</v>
      </c>
    </row>
    <row r="2" spans="1:19" x14ac:dyDescent="0.2">
      <c r="A2" t="s">
        <v>8</v>
      </c>
      <c r="B2" t="str">
        <f>PROPER(SUBSTITUTE(C2, "_", " "))</f>
        <v>S20X1</v>
      </c>
      <c r="C2" t="s">
        <v>12</v>
      </c>
      <c r="D2" s="2">
        <f t="shared" ref="D2:D8" si="0">VLOOKUP($C2, $L$3:$O$34, 3, FALSE)</f>
        <v>1.5509183902338901</v>
      </c>
      <c r="E2" s="2">
        <f t="shared" ref="E2:E8" si="1">VLOOKUP($C2, $L$3:$R$34, 6, FALSE)</f>
        <v>167.40612537004299</v>
      </c>
      <c r="F2" s="3" cm="1">
        <f t="array" ref="F2:F10">VLOOKUP($C2:$C10, $L$3:$S$33, 8, FALSE)</f>
        <v>0</v>
      </c>
      <c r="G2" s="5">
        <f>E2-E$2</f>
        <v>0</v>
      </c>
      <c r="H2" s="2">
        <f>G2+200*(D2-D$2)</f>
        <v>0</v>
      </c>
      <c r="I2" s="2"/>
      <c r="J2" s="2"/>
      <c r="L2" t="s">
        <v>15</v>
      </c>
      <c r="M2" t="s">
        <v>16</v>
      </c>
      <c r="N2" t="s">
        <v>14</v>
      </c>
      <c r="O2" t="s">
        <v>18</v>
      </c>
      <c r="P2" t="s">
        <v>19</v>
      </c>
      <c r="Q2" t="s">
        <v>17</v>
      </c>
      <c r="R2" t="s">
        <v>28</v>
      </c>
      <c r="S2" t="s">
        <v>9</v>
      </c>
    </row>
    <row r="3" spans="1:19" x14ac:dyDescent="0.2">
      <c r="A3" t="s">
        <v>10</v>
      </c>
      <c r="B3" t="str">
        <f t="shared" ref="B3:B8" si="2">PROPER(SUBSTITUTE(C3, "_", " "))</f>
        <v>High Fossil</v>
      </c>
      <c r="C3" t="s">
        <v>2</v>
      </c>
      <c r="D3" s="2">
        <f t="shared" si="0"/>
        <v>1.84284793310867</v>
      </c>
      <c r="E3" s="2">
        <f t="shared" si="1"/>
        <v>197.11135479512899</v>
      </c>
      <c r="F3" s="3">
        <v>0.38643693040768434</v>
      </c>
      <c r="G3" s="5">
        <f t="shared" ref="G3" si="3">E3-E$2</f>
        <v>29.705229425086003</v>
      </c>
      <c r="H3" s="2">
        <f t="shared" ref="H3:H8" si="4">G3+200*(D3-D$2)</f>
        <v>88.09113800004198</v>
      </c>
      <c r="I3" s="2"/>
      <c r="J3" s="2"/>
      <c r="L3" t="s">
        <v>12</v>
      </c>
      <c r="M3">
        <v>2025</v>
      </c>
      <c r="N3">
        <v>1.5509183902338901</v>
      </c>
      <c r="O3">
        <v>2012.0294978132399</v>
      </c>
      <c r="P3">
        <v>2469.1794929187699</v>
      </c>
      <c r="Q3">
        <v>167.40612537004299</v>
      </c>
    </row>
    <row r="4" spans="1:19" x14ac:dyDescent="0.2">
      <c r="A4" t="s">
        <v>10</v>
      </c>
      <c r="B4" t="str">
        <f t="shared" si="2"/>
        <v>Clean</v>
      </c>
      <c r="C4" t="s">
        <v>20</v>
      </c>
      <c r="D4" s="2">
        <f t="shared" si="0"/>
        <v>1.13069976554854</v>
      </c>
      <c r="E4" s="2">
        <f t="shared" si="1"/>
        <v>192.05181483985601</v>
      </c>
      <c r="F4" s="3">
        <v>1.6014004180371062</v>
      </c>
      <c r="G4" s="5">
        <f t="shared" ref="G4:G8" si="5">E4-E$2</f>
        <v>24.645689469813021</v>
      </c>
      <c r="H4" s="2">
        <f t="shared" si="4"/>
        <v>-59.398035467257003</v>
      </c>
      <c r="I4" s="2">
        <f>G3-G4</f>
        <v>5.0595399552729816</v>
      </c>
      <c r="J4" s="2"/>
      <c r="L4" t="s">
        <v>20</v>
      </c>
      <c r="M4">
        <v>2030</v>
      </c>
      <c r="N4">
        <v>1.13069976554854</v>
      </c>
      <c r="O4">
        <v>3076.7680909826499</v>
      </c>
      <c r="P4">
        <v>1999.48702548439</v>
      </c>
      <c r="Q4">
        <v>192.05181483985601</v>
      </c>
      <c r="R4">
        <v>185.951780730341</v>
      </c>
      <c r="S4" s="4">
        <f>(O4+R4-O$3)/(SUM(O4:P4,R4)-SUM(O$3:P$3))</f>
        <v>1.6014004180371062</v>
      </c>
    </row>
    <row r="5" spans="1:19" x14ac:dyDescent="0.2">
      <c r="A5" t="s">
        <v>11</v>
      </c>
      <c r="B5" t="str">
        <f t="shared" si="2"/>
        <v>Peak Fuel High Fossil</v>
      </c>
      <c r="C5" t="str" cm="1">
        <f t="array" ref="C5:C6">"peak_fuel_"&amp;C3:C4</f>
        <v>peak_fuel_high_fossil</v>
      </c>
      <c r="D5" s="2">
        <f t="shared" si="0"/>
        <v>1.8811821233644299</v>
      </c>
      <c r="E5" s="2">
        <f t="shared" si="1"/>
        <v>237.65688941379</v>
      </c>
      <c r="F5" s="3">
        <v>0.38703453823810741</v>
      </c>
      <c r="G5" s="5">
        <f t="shared" si="5"/>
        <v>70.250764043747012</v>
      </c>
      <c r="H5" s="2">
        <f t="shared" si="4"/>
        <v>136.30351066985497</v>
      </c>
      <c r="I5" s="2"/>
      <c r="J5" s="2"/>
      <c r="L5" t="s">
        <v>21</v>
      </c>
      <c r="M5">
        <v>2030</v>
      </c>
      <c r="N5">
        <v>1.13069977395416</v>
      </c>
      <c r="O5">
        <v>3076.6157233158401</v>
      </c>
      <c r="P5">
        <v>1999.4870684263699</v>
      </c>
      <c r="Q5">
        <v>192.051817028909</v>
      </c>
      <c r="S5" s="4">
        <f t="shared" ref="S5:S11" si="6">(O5+R5-O$3)/(SUM(O5:P5,R5)-SUM(O$3:P$3))</f>
        <v>1.7895399543495103</v>
      </c>
    </row>
    <row r="6" spans="1:19" x14ac:dyDescent="0.2">
      <c r="A6" t="s">
        <v>11</v>
      </c>
      <c r="B6" t="str">
        <f t="shared" si="2"/>
        <v>Peak Fuel Clean</v>
      </c>
      <c r="C6" t="str">
        <v>peak_fuel_clean</v>
      </c>
      <c r="D6" s="2">
        <f t="shared" si="0"/>
        <v>1.1311641095226399</v>
      </c>
      <c r="E6" s="2">
        <f t="shared" si="1"/>
        <v>224.17907326248601</v>
      </c>
      <c r="F6" s="3">
        <v>1.6089671398070815</v>
      </c>
      <c r="G6" s="5">
        <f t="shared" si="5"/>
        <v>56.772947892443028</v>
      </c>
      <c r="H6" s="2">
        <f t="shared" si="4"/>
        <v>-27.177908249807018</v>
      </c>
      <c r="I6" s="2">
        <f>G5-G6</f>
        <v>13.477816151303983</v>
      </c>
      <c r="J6" s="2"/>
      <c r="L6" t="s">
        <v>2</v>
      </c>
      <c r="M6">
        <v>2030</v>
      </c>
      <c r="N6">
        <v>1.84284793310867</v>
      </c>
      <c r="O6">
        <v>2314.2701713152001</v>
      </c>
      <c r="P6">
        <v>2949.06042767796</v>
      </c>
      <c r="Q6">
        <v>197.11135479512899</v>
      </c>
      <c r="S6" s="4">
        <f t="shared" si="6"/>
        <v>0.38643693040768434</v>
      </c>
    </row>
    <row r="7" spans="1:19" x14ac:dyDescent="0.2">
      <c r="A7" t="s">
        <v>5</v>
      </c>
      <c r="B7" t="str">
        <f t="shared" si="2"/>
        <v>Low Growth High Fossil</v>
      </c>
      <c r="C7" t="str" cm="1">
        <f t="array" ref="C7:C8">"low_growth_"&amp;C3:C4</f>
        <v>low_growth_high_fossil</v>
      </c>
      <c r="D7" s="2">
        <f t="shared" si="0"/>
        <v>1.58309575582479</v>
      </c>
      <c r="E7" s="2">
        <f t="shared" si="1"/>
        <v>175.260518081497</v>
      </c>
      <c r="F7" s="3">
        <v>1.066043267390884</v>
      </c>
      <c r="G7" s="5">
        <f t="shared" si="5"/>
        <v>7.8543927114540111</v>
      </c>
      <c r="H7" s="2">
        <f t="shared" si="4"/>
        <v>14.289865829633991</v>
      </c>
      <c r="I7" s="2"/>
      <c r="J7" s="2"/>
      <c r="L7" t="s">
        <v>7</v>
      </c>
      <c r="M7">
        <v>2030</v>
      </c>
      <c r="N7">
        <v>1.84947361372149</v>
      </c>
      <c r="O7">
        <v>2307.6339180332402</v>
      </c>
      <c r="P7">
        <v>2955.0256406551898</v>
      </c>
      <c r="Q7">
        <v>213.36359262956401</v>
      </c>
      <c r="S7" s="4">
        <f t="shared" si="6"/>
        <v>0.3782765440852367</v>
      </c>
    </row>
    <row r="8" spans="1:19" x14ac:dyDescent="0.2">
      <c r="A8" t="s">
        <v>5</v>
      </c>
      <c r="B8" t="str">
        <f t="shared" si="2"/>
        <v>Low Growth Clean</v>
      </c>
      <c r="C8" t="str">
        <v>low_growth_clean</v>
      </c>
      <c r="D8" s="2">
        <f t="shared" si="0"/>
        <v>0.92198577445123198</v>
      </c>
      <c r="E8" s="2">
        <f t="shared" si="1"/>
        <v>172.63357280995299</v>
      </c>
      <c r="F8" s="3">
        <v>4.3768768088682908</v>
      </c>
      <c r="G8" s="5">
        <f t="shared" si="5"/>
        <v>5.2274474399100086</v>
      </c>
      <c r="H8" s="2">
        <f t="shared" si="4"/>
        <v>-120.55907571662162</v>
      </c>
      <c r="I8" s="2">
        <f>G7-G8</f>
        <v>2.6269452715440025</v>
      </c>
      <c r="J8" s="2"/>
      <c r="L8" t="s">
        <v>22</v>
      </c>
      <c r="M8">
        <v>2030</v>
      </c>
      <c r="N8">
        <v>0.92198577445123198</v>
      </c>
      <c r="O8">
        <v>3051.5858975649398</v>
      </c>
      <c r="P8">
        <v>1523.66735390606</v>
      </c>
      <c r="Q8">
        <v>172.63357280995299</v>
      </c>
      <c r="R8">
        <f>R4</f>
        <v>185.951780730341</v>
      </c>
      <c r="S8" s="4">
        <f t="shared" si="6"/>
        <v>4.3768768088682908</v>
      </c>
    </row>
    <row r="9" spans="1:19" x14ac:dyDescent="0.2">
      <c r="D9" s="2"/>
      <c r="E9" s="2"/>
      <c r="F9" s="3" t="e">
        <v>#N/A</v>
      </c>
      <c r="J9" s="2"/>
      <c r="L9" t="s">
        <v>6</v>
      </c>
      <c r="M9">
        <v>2030</v>
      </c>
      <c r="N9">
        <v>1.58309575582479</v>
      </c>
      <c r="O9">
        <v>2305.3241088807799</v>
      </c>
      <c r="P9">
        <v>2451.0093726098198</v>
      </c>
      <c r="Q9">
        <v>175.260518081497</v>
      </c>
      <c r="S9" s="4">
        <f t="shared" si="6"/>
        <v>1.066043267390884</v>
      </c>
    </row>
    <row r="10" spans="1:19" x14ac:dyDescent="0.2">
      <c r="D10" s="2"/>
      <c r="E10" s="2"/>
      <c r="F10" s="3" t="e">
        <v>#N/A</v>
      </c>
      <c r="J10" s="2"/>
      <c r="L10" t="s">
        <v>23</v>
      </c>
      <c r="M10">
        <v>2030</v>
      </c>
      <c r="N10">
        <v>1.1311641095226399</v>
      </c>
      <c r="O10">
        <v>3076.8151391035699</v>
      </c>
      <c r="P10">
        <v>1995.7963070887999</v>
      </c>
      <c r="Q10">
        <v>224.17907326248601</v>
      </c>
      <c r="R10">
        <f>R4</f>
        <v>185.951780730341</v>
      </c>
      <c r="S10" s="4">
        <f t="shared" si="6"/>
        <v>1.6089671398070815</v>
      </c>
    </row>
    <row r="11" spans="1:19" x14ac:dyDescent="0.2">
      <c r="D11" s="2"/>
      <c r="E11" s="2"/>
      <c r="F11" s="3"/>
      <c r="H11" t="s">
        <v>29</v>
      </c>
      <c r="I11" s="5">
        <f>G3</f>
        <v>29.705229425086003</v>
      </c>
      <c r="J11" s="2"/>
      <c r="L11" t="s">
        <v>4</v>
      </c>
      <c r="M11">
        <v>2030</v>
      </c>
      <c r="N11">
        <v>1.8811821233644299</v>
      </c>
      <c r="O11">
        <v>2313.8154133631001</v>
      </c>
      <c r="P11">
        <v>2947.13255602357</v>
      </c>
      <c r="Q11">
        <v>237.65688941379</v>
      </c>
      <c r="S11" s="4">
        <f t="shared" si="6"/>
        <v>0.38703453823810741</v>
      </c>
    </row>
    <row r="12" spans="1:19" x14ac:dyDescent="0.2">
      <c r="D12" s="2"/>
      <c r="E12" s="2"/>
      <c r="F12" s="3"/>
      <c r="H12" t="s">
        <v>30</v>
      </c>
      <c r="I12" s="5">
        <f>G3-G4</f>
        <v>5.0595399552729816</v>
      </c>
      <c r="J12" s="2"/>
      <c r="R12" s="4"/>
    </row>
    <row r="13" spans="1:19" x14ac:dyDescent="0.2">
      <c r="D13" s="2"/>
      <c r="E13" s="2"/>
      <c r="F13" s="3"/>
      <c r="H13" t="s">
        <v>31</v>
      </c>
      <c r="I13" s="8">
        <f>I12/I11</f>
        <v>0.17032489070763449</v>
      </c>
      <c r="J13" s="2"/>
      <c r="R13" s="4"/>
    </row>
    <row r="14" spans="1:19" x14ac:dyDescent="0.2">
      <c r="D14" s="2"/>
      <c r="E14" s="2"/>
      <c r="F14" s="3"/>
      <c r="H14" t="s">
        <v>32</v>
      </c>
      <c r="I14" s="5">
        <f>G5-G3</f>
        <v>40.545534618661009</v>
      </c>
      <c r="J14" s="2"/>
      <c r="R14" s="4"/>
    </row>
    <row r="15" spans="1:19" x14ac:dyDescent="0.2">
      <c r="D15" s="2"/>
      <c r="E15" s="2"/>
      <c r="F15" s="3"/>
      <c r="H15" t="s">
        <v>33</v>
      </c>
      <c r="I15" s="5">
        <f>I14-(G6-G4)</f>
        <v>8.4182761960310017</v>
      </c>
      <c r="R15" s="4"/>
    </row>
    <row r="16" spans="1:19" x14ac:dyDescent="0.2">
      <c r="D16" s="2"/>
      <c r="E16" s="2"/>
      <c r="F16" s="3"/>
      <c r="H16" t="s">
        <v>33</v>
      </c>
      <c r="I16" s="8">
        <f>I15/I14</f>
        <v>0.20762523605143204</v>
      </c>
      <c r="R16" s="4"/>
    </row>
    <row r="17" spans="4:18" x14ac:dyDescent="0.2">
      <c r="D17" s="2"/>
      <c r="E17" s="2"/>
      <c r="F17" s="3"/>
      <c r="H17" t="s">
        <v>34</v>
      </c>
      <c r="I17" s="7">
        <f>G5-G6</f>
        <v>13.477816151303983</v>
      </c>
      <c r="R17" s="4"/>
    </row>
    <row r="18" spans="4:18" x14ac:dyDescent="0.2">
      <c r="D18" s="2"/>
      <c r="E18" s="2"/>
      <c r="F18" s="3"/>
      <c r="R18" s="4"/>
    </row>
    <row r="19" spans="4:18" x14ac:dyDescent="0.2">
      <c r="D19" s="2"/>
      <c r="E19" s="2"/>
      <c r="F19" s="3"/>
      <c r="R19" s="4"/>
    </row>
    <row r="20" spans="4:18" x14ac:dyDescent="0.2">
      <c r="D20" s="2"/>
      <c r="E20" s="2"/>
      <c r="F20" s="3"/>
    </row>
    <row r="21" spans="4:18" x14ac:dyDescent="0.2">
      <c r="D21" s="2"/>
      <c r="E21" s="2"/>
      <c r="F21" s="3"/>
    </row>
    <row r="22" spans="4:18" x14ac:dyDescent="0.2">
      <c r="D22" s="2"/>
      <c r="E22" s="2"/>
      <c r="F22" s="3"/>
    </row>
    <row r="23" spans="4:18" x14ac:dyDescent="0.2">
      <c r="D23" s="2"/>
      <c r="E23" s="2"/>
      <c r="F23" s="3"/>
    </row>
    <row r="24" spans="4:18" x14ac:dyDescent="0.2">
      <c r="D24" s="2"/>
      <c r="E24" s="2"/>
      <c r="F24" s="3"/>
    </row>
    <row r="25" spans="4:18" x14ac:dyDescent="0.2">
      <c r="D25" s="2"/>
      <c r="E25" s="2"/>
      <c r="F25" s="3"/>
    </row>
    <row r="26" spans="4:18" x14ac:dyDescent="0.2">
      <c r="D26" s="2"/>
      <c r="E26" s="2"/>
      <c r="F26" s="3"/>
    </row>
    <row r="27" spans="4:18" x14ac:dyDescent="0.2">
      <c r="D27" s="2"/>
      <c r="E27" s="1"/>
    </row>
    <row r="28" spans="4:18" x14ac:dyDescent="0.2">
      <c r="D28" s="2"/>
      <c r="E28" s="1"/>
    </row>
    <row r="29" spans="4:18" x14ac:dyDescent="0.2">
      <c r="D29" s="2"/>
      <c r="E29" s="1"/>
    </row>
    <row r="30" spans="4:18" x14ac:dyDescent="0.2">
      <c r="D30" s="2"/>
      <c r="E30" s="1"/>
    </row>
    <row r="31" spans="4:18" x14ac:dyDescent="0.2">
      <c r="D31" s="2"/>
      <c r="E31" s="1"/>
    </row>
    <row r="32" spans="4:18" x14ac:dyDescent="0.2">
      <c r="D32" s="2"/>
      <c r="E32" s="1"/>
    </row>
  </sheetData>
  <sortState xmlns:xlrd2="http://schemas.microsoft.com/office/spreadsheetml/2017/richdata2" ref="L3:O18">
    <sortCondition ref="L3:L18"/>
    <sortCondition descending="1" ref="N3:N18"/>
  </sortState>
  <phoneticPr fontId="1" type="noConversion"/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EF3AF50F2594E8CFB88B65572827E" ma:contentTypeVersion="10" ma:contentTypeDescription="Create a new document." ma:contentTypeScope="" ma:versionID="a33f5ba277e803051ddec0c2f3ebdf97">
  <xsd:schema xmlns:xsd="http://www.w3.org/2001/XMLSchema" xmlns:xs="http://www.w3.org/2001/XMLSchema" xmlns:p="http://schemas.microsoft.com/office/2006/metadata/properties" xmlns:ns2="a92bd8f1-c682-480b-a293-fac44964c998" targetNamespace="http://schemas.microsoft.com/office/2006/metadata/properties" ma:root="true" ma:fieldsID="eb62609f8c3c2c61753a70ad7027dc26" ns2:_="">
    <xsd:import namespace="a92bd8f1-c682-480b-a293-fac44964c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bd8f1-c682-480b-a293-fac44964c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117057-420B-492F-A8C5-0D45FC583F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3D29D-B81E-419B-A632-579826696601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92bd8f1-c682-480b-a293-fac44964c998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E72451-0000-473C-9BEF-3C3A5A240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bd8f1-c682-480b-a293-fac44964c9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vs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Fripp</dc:creator>
  <cp:lastModifiedBy>Matthias Fripp</cp:lastModifiedBy>
  <dcterms:created xsi:type="dcterms:W3CDTF">2026-01-07T00:30:54Z</dcterms:created>
  <dcterms:modified xsi:type="dcterms:W3CDTF">2026-06-29T22:27:53Z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0x0101003E2EF3AF50F2594E8CFB88B65572827E</vt:lpwstr>
  </property>
</Properties>
</file>