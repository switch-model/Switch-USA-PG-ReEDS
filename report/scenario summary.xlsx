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tthiasfripp/Library/CloudStorage/OneDrive-EnergyInnovation/Analysis/Electricity-Shared/Load-Growth/Switch-USA-PG-ReEDS/report/"/>
    </mc:Choice>
  </mc:AlternateContent>
  <xr:revisionPtr revIDLastSave="0" documentId="13_ncr:1_{F08302C1-9E79-7A4A-9890-7F754FE9E842}" xr6:coauthVersionLast="47" xr6:coauthVersionMax="47" xr10:uidLastSave="{00000000-0000-0000-0000-000000000000}"/>
  <bookViews>
    <workbookView xWindow="11680" yWindow="760" windowWidth="22880" windowHeight="19880" xr2:uid="{023A4B6C-4A08-E24A-8297-A440EACD546C}"/>
  </bookViews>
  <sheets>
    <sheet name="cost vs emission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 a="1"/>
  <c r="F2" i="1" s="1"/>
  <c r="I22" i="1"/>
  <c r="I21" i="1"/>
  <c r="I23" i="1"/>
  <c r="I20" i="1"/>
  <c r="I19" i="1"/>
  <c r="I18" i="1"/>
  <c r="I17" i="1"/>
  <c r="R10" i="1"/>
  <c r="S10" i="1" s="1"/>
  <c r="R8" i="1"/>
  <c r="S8" i="1" s="1"/>
  <c r="S5" i="1"/>
  <c r="S6" i="1"/>
  <c r="S7" i="1"/>
  <c r="S9" i="1"/>
  <c r="S11" i="1"/>
  <c r="S4" i="1"/>
  <c r="B3" i="1"/>
  <c r="B4" i="1"/>
  <c r="B5" i="1"/>
  <c r="B6" i="1"/>
  <c r="B2" i="1"/>
  <c r="D4" i="1"/>
  <c r="E4" i="1"/>
  <c r="D5" i="1"/>
  <c r="E5" i="1"/>
  <c r="D6" i="1"/>
  <c r="E6" i="1"/>
  <c r="E3" i="1"/>
  <c r="E2" i="1"/>
  <c r="G2" i="1" s="1"/>
  <c r="D2" i="1"/>
  <c r="C11" i="1" a="1"/>
  <c r="C11" i="1" s="1"/>
  <c r="E11" i="1" s="1"/>
  <c r="C7" i="1" a="1"/>
  <c r="E8" i="1" s="1"/>
  <c r="B9" i="1" l="1"/>
  <c r="B8" i="1"/>
  <c r="B14" i="1"/>
  <c r="B13" i="1"/>
  <c r="B12" i="1"/>
  <c r="B11" i="1"/>
  <c r="B10" i="1"/>
  <c r="H2" i="1"/>
  <c r="E12" i="1"/>
  <c r="G12" i="1" s="1"/>
  <c r="D12" i="1"/>
  <c r="D8" i="1"/>
  <c r="G6" i="1"/>
  <c r="H6" i="1" s="1"/>
  <c r="G11" i="1"/>
  <c r="G5" i="1"/>
  <c r="H5" i="1" s="1"/>
  <c r="G8" i="1"/>
  <c r="G4" i="1"/>
  <c r="H4" i="1" s="1"/>
  <c r="D10" i="1"/>
  <c r="D11" i="1"/>
  <c r="E9" i="1"/>
  <c r="G9" i="1" s="1"/>
  <c r="E13" i="1"/>
  <c r="G13" i="1" s="1"/>
  <c r="D9" i="1"/>
  <c r="E14" i="1"/>
  <c r="G14" i="1" s="1"/>
  <c r="D13" i="1"/>
  <c r="E10" i="1"/>
  <c r="G10" i="1" s="1"/>
  <c r="D14" i="1"/>
  <c r="C7" i="1"/>
  <c r="B7" i="1" s="1"/>
  <c r="I12" i="1" l="1"/>
  <c r="H8" i="1"/>
  <c r="H12" i="1"/>
  <c r="H9" i="1"/>
  <c r="H10" i="1"/>
  <c r="H11" i="1"/>
  <c r="H13" i="1"/>
  <c r="H14" i="1"/>
  <c r="D7" i="1"/>
  <c r="E7" i="1"/>
  <c r="G7" i="1" s="1"/>
  <c r="I8" i="1" s="1"/>
  <c r="H7" i="1" l="1"/>
  <c r="G3" i="1" l="1"/>
  <c r="I4" i="1" s="1"/>
  <c r="D3" i="1"/>
  <c r="H3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<sst xmlns="http://schemas.openxmlformats.org/spreadsheetml/2006/main" count="54" uniqueCount="40">
  <si>
    <t>scenario</t>
  </si>
  <si>
    <t>emissions (GtCO2/y)</t>
  </si>
  <si>
    <t>high_fossil</t>
  </si>
  <si>
    <t>expected cost ($B/y)</t>
  </si>
  <si>
    <t>peak_fuel_high_fossil</t>
  </si>
  <si>
    <t>low growth</t>
  </si>
  <si>
    <t>low_growth_high_fossil</t>
  </si>
  <si>
    <t>high_fossil_build</t>
  </si>
  <si>
    <t>baseline</t>
  </si>
  <si>
    <t>clean growth share</t>
  </si>
  <si>
    <t>clean_400</t>
  </si>
  <si>
    <t>clean_500</t>
  </si>
  <si>
    <t>expected</t>
  </si>
  <si>
    <t>peak fuel</t>
  </si>
  <si>
    <t>s20x1</t>
  </si>
  <si>
    <t>diff from base</t>
  </si>
  <si>
    <t>for f in out/{2025,2030/ce}/*/total_cost.txt; do dir=${f:h}; q "select split_part('$dir', '/', -1) as case, * from (select period, sum(DispatchEmissions_tCO2_per_typical_yr/1e9) as GtCO2, sum(Energy_GWh_typical_yr*0.001) filter (DispatchEmissions_tCO2_per_typical_yr = 0 and gen_energy_source not in ('imports', 'storage')) as clean_TWh, sum(Energy_GWh_typical_yr*0.001) filter (DispatchEmissions_tCO2_per_typical_yr &gt; 0 and gen_energy_source not in ('imports', 'storage')) as dirty_TWh from '$dir/dispatch_annual_summary.csv' group by 1), (select (total_cost/1e9)*1.03**(2030-2025) as total_cost_B from read_csv('$dir/total_cost.txt', header=false, columns={'total_cost': 'DOUBLE'}))" | tail -n 1; done</t>
  </si>
  <si>
    <t>GtCO2</t>
  </si>
  <si>
    <t>case</t>
  </si>
  <si>
    <t>period</t>
  </si>
  <si>
    <t>total_cost</t>
  </si>
  <si>
    <t>clean_TWh</t>
  </si>
  <si>
    <t>dirty_TWh</t>
  </si>
  <si>
    <t>clean</t>
  </si>
  <si>
    <t>clean_build</t>
  </si>
  <si>
    <t>low_growth_clean</t>
  </si>
  <si>
    <t>peak_fuel_clean</t>
  </si>
  <si>
    <t>$B savings</t>
  </si>
  <si>
    <t>conditions</t>
  </si>
  <si>
    <t>label</t>
  </si>
  <si>
    <t>dir=out/2030/ce/clean; q "select period, sum(DeployEEGWh_per_year) * 0.001 as ee_TWh from '$dir/energy_efficiency_investment.csv' group by 1"</t>
  </si>
  <si>
    <t/>
  </si>
  <si>
    <t>ee_TWh</t>
  </si>
  <si>
    <t>fossil growth cost</t>
  </si>
  <si>
    <t>clean savings</t>
  </si>
  <si>
    <t>% clean reduction</t>
  </si>
  <si>
    <t>fossil spike cost</t>
  </si>
  <si>
    <t>clean spike reduction</t>
  </si>
  <si>
    <t>high fuel savings</t>
  </si>
  <si>
    <t>diff w/$200 SCC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</si>
</sst>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&quot;$&quot;#,##0.0&quot; B/y&quot;"/>
    <numFmt numFmtId="166" formatCode="&quot;$&quot;#,##0.00"/>
    <numFmt numFmtId="167" formatCode="0.0%"/>
  </numFmts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70C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2" fontId="0" fillId="0" borderId="0" xfId="0" applyNumberFormat="1"/>
    <xf numFmtId="9" fontId="0" fillId="0" borderId="0" xfId="0" applyNumberFormat="1"/>
    <xf numFmtId="0" fontId="2" fillId="0" borderId="0" xfId="0" applyFont="1"/>
    <xf numFmtId="165" fontId="0" fillId="0" borderId="0" xfId="0" applyNumberFormat="1"/>
    <xf numFmtId="0" fontId="0" fillId="0" borderId="0" xfId="0" quotePrefix="1"/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F6AB2"/>
      <color rgb="FF929292"/>
      <color rgb="FFDAFF00"/>
      <color rgb="FF000000"/>
      <color rgb="FFCBCB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467482068899615"/>
          <c:y val="3.6660948239382853E-2"/>
          <c:w val="0.64848529504873142"/>
          <c:h val="0.77990332719009514"/>
        </c:manualLayout>
      </c:layout>
      <c:scatterChart>
        <c:scatterStyle val="lineMarker"/>
        <c:varyColors val="0"/>
        <c:ser>
          <c:idx val="0"/>
          <c:order val="0"/>
          <c:tx>
            <c:strRef>
              <c:f>'cost vs emissions'!$A$7</c:f>
              <c:strCache>
                <c:ptCount val="1"/>
                <c:pt idx="0">
                  <c:v>peak fuel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9C6E72B-AE62-954B-8EC8-187186B01408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
</a:t>
                    </a:r>
                    <a:fld id="{D89CF00B-2C5D-6F41-B5AC-DEB6DFAA1F02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C9-2648-9AA5-6DBAB32288A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6948E7E-F0F8-214E-BC53-236630821DF4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
</a:t>
                    </a:r>
                    <a:fld id="{F6CDDB97-22EE-FA48-B62E-DC988C0746DE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D00-9546-B362-9AC648E0D37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12C9-2648-9AA5-6DBAB32288A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12C9-2648-9AA5-6DBAB32288A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ontserrat" pitchFamily="2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'cost vs emissions'!$D$7:$D$10</c:f>
              <c:numCache>
                <c:formatCode>0.00</c:formatCode>
                <c:ptCount val="4"/>
                <c:pt idx="0">
                  <c:v>1.8811821233644299</c:v>
                </c:pt>
                <c:pt idx="1">
                  <c:v>1.1311641095226399</c:v>
                </c:pt>
                <c:pt idx="2">
                  <c:v>#N/A</c:v>
                </c:pt>
                <c:pt idx="3">
                  <c:v>#N/A</c:v>
                </c:pt>
              </c:numCache>
            </c:numRef>
          </c:xVal>
          <c:yVal>
            <c:numRef>
              <c:f>'cost vs emissions'!$G$7:$G$10</c:f>
              <c:numCache>
                <c:formatCode>"$"#,##0.0" B/y"</c:formatCode>
                <c:ptCount val="4"/>
                <c:pt idx="0">
                  <c:v>70.250764043747012</c:v>
                </c:pt>
                <c:pt idx="1">
                  <c:v>56.772947892443028</c:v>
                </c:pt>
                <c:pt idx="2">
                  <c:v>#N/A</c:v>
                </c:pt>
                <c:pt idx="3">
                  <c:v>#N/A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'cost vs emissions'!$B$3:$B$6</c15:f>
                <c15:dlblRangeCache>
                  <c:ptCount val="4"/>
                  <c:pt idx="0">
                    <c:v>High Fossil</c:v>
                  </c:pt>
                  <c:pt idx="1">
                    <c:v>Clean</c:v>
                  </c:pt>
                  <c:pt idx="2">
                    <c:v>Clean 400</c:v>
                  </c:pt>
                  <c:pt idx="3">
                    <c:v>Clean 500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9-2D00-9546-B362-9AC648E0D37F}"/>
            </c:ext>
          </c:extLst>
        </c:ser>
        <c:ser>
          <c:idx val="2"/>
          <c:order val="1"/>
          <c:tx>
            <c:strRef>
              <c:f>'cost vs emissions'!$A$3</c:f>
              <c:strCache>
                <c:ptCount val="1"/>
                <c:pt idx="0">
                  <c:v>expected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0431FB3-8C77-CC4C-B5C7-010E465C59C3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DA24BA1B-8D53-5A4D-8D91-CF18D47007F7}" type="YVALUE">
                      <a:rPr lang="en-US"/>
                      <a:pPr/>
                      <a:t>[Y VALUE]</a:t>
                    </a:fld>
                    <a:endParaRPr lang="en-US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2D00-9546-B362-9AC648E0D37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3F83A6B-2E07-D04A-BEEF-F700609504D8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85832974-8BB9-2F45-B214-D713BF4312CA}" type="YVALUE">
                      <a:rPr lang="en-US"/>
                      <a:pPr/>
                      <a:t>[Y VALUE]</a:t>
                    </a:fld>
                    <a:endParaRPr lang="en-US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2D00-9546-B362-9AC648E0D37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1E707A0-2F60-8245-9663-577A2445742E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F16CB903-AD83-5A45-B284-BB899C557222}" type="YVALUE">
                      <a:rPr lang="en-US"/>
                      <a:pPr/>
                      <a:t>[Y VALUE]</a:t>
                    </a:fld>
                    <a:endParaRPr lang="en-US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2D00-9546-B362-9AC648E0D37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5EC805C-81B1-8D40-9FBA-D396676A1C4E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0796D8D5-7F59-9546-A003-01479784F546}" type="YVALUE">
                      <a:rPr lang="en-US"/>
                      <a:pPr/>
                      <a:t>[Y VALUE]</a:t>
                    </a:fld>
                    <a:endParaRPr lang="en-US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2D00-9546-B362-9AC648E0D37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ontserrat" pitchFamily="2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'cost vs emissions'!$D$3:$D$6</c:f>
              <c:numCache>
                <c:formatCode>0.00</c:formatCode>
                <c:ptCount val="4"/>
                <c:pt idx="0">
                  <c:v>1.84284793310867</c:v>
                </c:pt>
                <c:pt idx="1">
                  <c:v>1.13069976554854</c:v>
                </c:pt>
                <c:pt idx="2">
                  <c:v>#N/A</c:v>
                </c:pt>
                <c:pt idx="3">
                  <c:v>#N/A</c:v>
                </c:pt>
              </c:numCache>
            </c:numRef>
          </c:xVal>
          <c:yVal>
            <c:numRef>
              <c:f>'cost vs emissions'!$G$3:$G$6</c:f>
              <c:numCache>
                <c:formatCode>"$"#,##0.0" B/y"</c:formatCode>
                <c:ptCount val="4"/>
                <c:pt idx="0">
                  <c:v>29.705229425086003</c:v>
                </c:pt>
                <c:pt idx="1">
                  <c:v>24.645689469813021</c:v>
                </c:pt>
                <c:pt idx="2">
                  <c:v>#N/A</c:v>
                </c:pt>
                <c:pt idx="3">
                  <c:v>#N/A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'cost vs emissions'!$B$3:$B$6</c15:f>
                <c15:dlblRangeCache>
                  <c:ptCount val="4"/>
                  <c:pt idx="0">
                    <c:v>High Fossil</c:v>
                  </c:pt>
                  <c:pt idx="1">
                    <c:v>Clean</c:v>
                  </c:pt>
                  <c:pt idx="2">
                    <c:v>Clean 400</c:v>
                  </c:pt>
                  <c:pt idx="3">
                    <c:v>Clean 500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D-2D00-9546-B362-9AC648E0D37F}"/>
            </c:ext>
          </c:extLst>
        </c:ser>
        <c:ser>
          <c:idx val="1"/>
          <c:order val="2"/>
          <c:tx>
            <c:strRef>
              <c:f>'cost vs emissions'!$A$11</c:f>
              <c:strCache>
                <c:ptCount val="1"/>
                <c:pt idx="0">
                  <c:v>low growth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3.6214848523405396E-2"/>
                  <c:y val="-6.4816001400932077E-2"/>
                </c:manualLayout>
              </c:layout>
              <c:tx>
                <c:rich>
                  <a:bodyPr/>
                  <a:lstStyle/>
                  <a:p>
                    <a:fld id="{B4FA9C32-54DE-4940-AD21-387A1A1F94AA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DF513F17-FBDB-464C-8080-7F9F696601DE}" type="YVALUE">
                      <a:rPr lang="en-US"/>
                      <a:pPr/>
                      <a:t>[Y VALUE]</a:t>
                    </a:fld>
                    <a:endParaRPr lang="en-US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2C9-2648-9AA5-6DBAB32288A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3F41EA6-378C-3540-BA08-1C43F06D1D49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392EE9E3-6748-A24C-8BE9-38C358B1B53E}" type="YVALUE">
                      <a:rPr lang="en-US"/>
                      <a:pPr/>
                      <a:t>[Y VALUE]</a:t>
                    </a:fld>
                    <a:endParaRPr lang="en-US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12C9-2648-9AA5-6DBAB32288A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12C9-2648-9AA5-6DBAB32288A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12C9-2648-9AA5-6DBAB32288A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ontserrat" pitchFamily="2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'cost vs emissions'!$D$11:$D$14</c:f>
              <c:numCache>
                <c:formatCode>0.00</c:formatCode>
                <c:ptCount val="4"/>
                <c:pt idx="0">
                  <c:v>1.58309575582479</c:v>
                </c:pt>
                <c:pt idx="1">
                  <c:v>0.92198577445123198</c:v>
                </c:pt>
                <c:pt idx="2">
                  <c:v>#N/A</c:v>
                </c:pt>
                <c:pt idx="3">
                  <c:v>#N/A</c:v>
                </c:pt>
              </c:numCache>
            </c:numRef>
          </c:xVal>
          <c:yVal>
            <c:numRef>
              <c:f>'cost vs emissions'!$G$11:$G$14</c:f>
              <c:numCache>
                <c:formatCode>"$"#,##0.0" B/y"</c:formatCode>
                <c:ptCount val="4"/>
                <c:pt idx="0">
                  <c:v>7.8543927114540111</c:v>
                </c:pt>
                <c:pt idx="1">
                  <c:v>5.2274474399100086</c:v>
                </c:pt>
                <c:pt idx="2">
                  <c:v>#N/A</c:v>
                </c:pt>
                <c:pt idx="3">
                  <c:v>#N/A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'cost vs emissions'!$B$3:$B$6</c15:f>
                <c15:dlblRangeCache>
                  <c:ptCount val="4"/>
                  <c:pt idx="0">
                    <c:v>High Fossil</c:v>
                  </c:pt>
                  <c:pt idx="1">
                    <c:v>Clean</c:v>
                  </c:pt>
                  <c:pt idx="2">
                    <c:v>Clean 400</c:v>
                  </c:pt>
                  <c:pt idx="3">
                    <c:v>Clean 500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8-2D00-9546-B362-9AC648E0D3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981936"/>
        <c:axId val="430429456"/>
      </c:scatterChart>
      <c:valAx>
        <c:axId val="429981936"/>
        <c:scaling>
          <c:orientation val="minMax"/>
          <c:min val="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Montserrat" pitchFamily="2" charset="77"/>
                    <a:ea typeface="+mn-ea"/>
                    <a:cs typeface="+mn-cs"/>
                  </a:defRPr>
                </a:pPr>
                <a:r>
                  <a:rPr lang="en-US"/>
                  <a:t>2030 emissions (GtCO2/y)</a:t>
                </a:r>
              </a:p>
            </c:rich>
          </c:tx>
          <c:layout>
            <c:manualLayout>
              <c:xMode val="edge"/>
              <c:yMode val="edge"/>
              <c:x val="0.32487901769283517"/>
              <c:y val="0.936568484494993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Montserrat" pitchFamily="2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ontserrat" pitchFamily="2" charset="77"/>
                <a:ea typeface="+mn-ea"/>
                <a:cs typeface="+mn-cs"/>
              </a:defRPr>
            </a:pPr>
            <a:endParaRPr lang="en-US"/>
          </a:p>
        </c:txPr>
        <c:crossAx val="430429456"/>
        <c:crosses val="autoZero"/>
        <c:crossBetween val="midCat"/>
        <c:majorUnit val="0.25"/>
      </c:valAx>
      <c:valAx>
        <c:axId val="430429456"/>
        <c:scaling>
          <c:orientation val="minMax"/>
          <c:max val="7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Montserrat" pitchFamily="2" charset="77"/>
                    <a:ea typeface="+mn-ea"/>
                    <a:cs typeface="+mn-cs"/>
                  </a:defRPr>
                </a:pPr>
                <a:r>
                  <a:rPr lang="en-US"/>
                  <a:t>Difference in cost from 2025 ($B/y)</a:t>
                </a:r>
              </a:p>
            </c:rich>
          </c:tx>
          <c:layout>
            <c:manualLayout>
              <c:xMode val="edge"/>
              <c:yMode val="edge"/>
              <c:x val="4.4344015381700717E-4"/>
              <c:y val="3.8009623797025369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Montserrat" pitchFamily="2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&quot; B&quot;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ontserrat" pitchFamily="2" charset="77"/>
                <a:ea typeface="+mn-ea"/>
                <a:cs typeface="+mn-cs"/>
              </a:defRPr>
            </a:pPr>
            <a:endParaRPr lang="en-US"/>
          </a:p>
        </c:txPr>
        <c:crossAx val="429981936"/>
        <c:crosses val="autoZero"/>
        <c:crossBetween val="midCat"/>
        <c:majorUnit val="2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230733684238654"/>
          <c:y val="0.34400266356735981"/>
          <c:w val="0.18769266315761352"/>
          <c:h val="0.21166938163081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ontserrat" pitchFamily="2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>
          <a:latin typeface="Montserrat" pitchFamily="2" charset="77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350787539742124"/>
          <c:y val="2.55879529637629E-2"/>
          <c:w val="0.64601969028195405"/>
          <c:h val="0.81957010368304395"/>
        </c:manualLayout>
      </c:layout>
      <c:scatterChart>
        <c:scatterStyle val="lineMarker"/>
        <c:varyColors val="0"/>
        <c:ser>
          <c:idx val="1"/>
          <c:order val="0"/>
          <c:tx>
            <c:strRef>
              <c:f>'cost vs emissions'!$A$7</c:f>
              <c:strCache>
                <c:ptCount val="1"/>
                <c:pt idx="0">
                  <c:v>peak fuel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6.1810266880702409E-2"/>
                  <c:y val="9.085787887625156E-2"/>
                </c:manualLayout>
              </c:layout>
              <c:tx>
                <c:rich>
                  <a:bodyPr/>
                  <a:lstStyle/>
                  <a:p>
                    <a:fld id="{70D40381-D42A-7C4F-8F1C-BDD4128200BE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F6A1D865-F80E-7247-94CD-415A7C8D4129}" type="YVALUE">
                      <a:rPr lang="en-US"/>
                      <a:pPr/>
                      <a:t>[Y VALUE]</a:t>
                    </a:fld>
                    <a:endParaRPr lang="en-US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1003689236111111"/>
                      <c:h val="0.16126543209876543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5CBD-3847-A90D-07E7B03B8167}"/>
                </c:ext>
              </c:extLst>
            </c:dLbl>
            <c:dLbl>
              <c:idx val="1"/>
              <c:layout>
                <c:manualLayout>
                  <c:x val="-5.3117994039807527E-2"/>
                  <c:y val="-9.2214202391367739E-2"/>
                </c:manualLayout>
              </c:layout>
              <c:tx>
                <c:rich>
                  <a:bodyPr/>
                  <a:lstStyle/>
                  <a:p>
                    <a:fld id="{063639E1-85DD-624D-BCF4-7754728ABA6A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BD5EE229-FC3E-BF4A-92B8-AF86AC405FF6}" type="YVALUE">
                      <a:rPr lang="en-US"/>
                      <a:pPr/>
                      <a:t>[Y VALUE]</a:t>
                    </a:fld>
                    <a:endParaRPr lang="en-US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5CBD-3847-A90D-07E7B03B816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718ACAE-FA2E-9F4B-BFF7-4AC87BC7146C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BF0C2FD2-EC43-4640-97F4-1261B2908C39}" type="YVALUE">
                      <a:rPr lang="en-US"/>
                      <a:pPr/>
                      <a:t>[Y VALUE]</a:t>
                    </a:fld>
                    <a:endParaRPr lang="en-US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5CBD-3847-A90D-07E7B03B816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1ED1552-A641-364E-A040-3AD339F4925F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E6653BA9-1035-494E-8811-CB9EF93D9626}" type="YVALUE">
                      <a:rPr lang="en-US"/>
                      <a:pPr/>
                      <a:t>[Y VALUE]</a:t>
                    </a:fld>
                    <a:endParaRPr lang="en-US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5CBD-3847-A90D-07E7B03B81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ontserrat" pitchFamily="2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'cost vs emissions'!$F$7:$F$10</c:f>
              <c:numCache>
                <c:formatCode>0%</c:formatCode>
                <c:ptCount val="4"/>
                <c:pt idx="0">
                  <c:v>0.38703453823810741</c:v>
                </c:pt>
                <c:pt idx="1">
                  <c:v>1.6089671398070815</c:v>
                </c:pt>
                <c:pt idx="2">
                  <c:v>#N/A</c:v>
                </c:pt>
                <c:pt idx="3">
                  <c:v>#N/A</c:v>
                </c:pt>
              </c:numCache>
            </c:numRef>
          </c:xVal>
          <c:yVal>
            <c:numRef>
              <c:f>'cost vs emissions'!$G$7:$G$14</c:f>
              <c:numCache>
                <c:formatCode>"$"#,##0.0" B/y"</c:formatCode>
                <c:ptCount val="8"/>
                <c:pt idx="0">
                  <c:v>70.250764043747012</c:v>
                </c:pt>
                <c:pt idx="1">
                  <c:v>56.772947892443028</c:v>
                </c:pt>
                <c:pt idx="2">
                  <c:v>#N/A</c:v>
                </c:pt>
                <c:pt idx="3">
                  <c:v>#N/A</c:v>
                </c:pt>
                <c:pt idx="4">
                  <c:v>7.8543927114540111</c:v>
                </c:pt>
                <c:pt idx="5">
                  <c:v>5.2274474399100086</c:v>
                </c:pt>
                <c:pt idx="6">
                  <c:v>#N/A</c:v>
                </c:pt>
                <c:pt idx="7">
                  <c:v>#N/A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'cost vs emissions'!$B$3:$B$6</c15:f>
                <c15:dlblRangeCache>
                  <c:ptCount val="4"/>
                  <c:pt idx="0">
                    <c:v>High Fossil</c:v>
                  </c:pt>
                  <c:pt idx="1">
                    <c:v>Clean</c:v>
                  </c:pt>
                  <c:pt idx="2">
                    <c:v>Clean 400</c:v>
                  </c:pt>
                  <c:pt idx="3">
                    <c:v>Clean 500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0-5CBD-3847-A90D-07E7B03B8167}"/>
            </c:ext>
          </c:extLst>
        </c:ser>
        <c:ser>
          <c:idx val="2"/>
          <c:order val="1"/>
          <c:tx>
            <c:strRef>
              <c:f>'cost vs emissions'!$A$3</c:f>
              <c:strCache>
                <c:ptCount val="1"/>
                <c:pt idx="0">
                  <c:v>expected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5609870055305585E-2"/>
                  <c:y val="-6.8286915524448336E-2"/>
                </c:manualLayout>
              </c:layout>
              <c:tx>
                <c:rich>
                  <a:bodyPr/>
                  <a:lstStyle/>
                  <a:p>
                    <a:fld id="{7D10E734-0D91-6043-99B1-89F9509DCA5B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45829B0C-5082-2049-8506-C323068FE54E}" type="YVALUE">
                      <a:rPr lang="en-US"/>
                      <a:pPr/>
                      <a:t>[Y VALUE]</a:t>
                    </a:fld>
                    <a:endParaRPr lang="en-US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CBD-3847-A90D-07E7B03B816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88B0C88-5B11-6A43-8BDA-B6D55B631D07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8C3801D7-B455-8244-9292-62BF25F886B7}" type="YVALUE">
                      <a:rPr lang="en-US"/>
                      <a:pPr/>
                      <a:t>[Y VALUE]</a:t>
                    </a:fld>
                    <a:endParaRPr lang="en-US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CBD-3847-A90D-07E7B03B816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0328E9E-5ECB-914D-897C-9BCB6D3692F4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CBAD1C37-D174-C542-B6D5-C626F7BA7907}" type="YVALUE">
                      <a:rPr lang="en-US"/>
                      <a:pPr/>
                      <a:t>[Y VALUE]</a:t>
                    </a:fld>
                    <a:endParaRPr lang="en-US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5CBD-3847-A90D-07E7B03B816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3AA73B1-60C3-4F4C-8256-3A7F4C22DDFB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A4D51C71-5EC0-424B-A78F-40381ED3EC4C}" type="YVALUE">
                      <a:rPr lang="en-US"/>
                      <a:pPr/>
                      <a:t>[Y VALUE]</a:t>
                    </a:fld>
                    <a:endParaRPr lang="en-US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5CBD-3847-A90D-07E7B03B81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ontserrat" pitchFamily="2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'cost vs emissions'!$F$3:$F$6</c:f>
              <c:numCache>
                <c:formatCode>0%</c:formatCode>
                <c:ptCount val="4"/>
                <c:pt idx="0">
                  <c:v>0.38643693040768434</c:v>
                </c:pt>
                <c:pt idx="1">
                  <c:v>1.6014004180371062</c:v>
                </c:pt>
                <c:pt idx="2">
                  <c:v>#N/A</c:v>
                </c:pt>
                <c:pt idx="3">
                  <c:v>#N/A</c:v>
                </c:pt>
              </c:numCache>
            </c:numRef>
          </c:xVal>
          <c:yVal>
            <c:numRef>
              <c:f>('cost vs emissions'!$G$3:$G$6,'cost vs emissions'!$G$11:$G$14)</c:f>
              <c:numCache>
                <c:formatCode>"$"#,##0.0" B/y"</c:formatCode>
                <c:ptCount val="8"/>
                <c:pt idx="0">
                  <c:v>29.705229425086003</c:v>
                </c:pt>
                <c:pt idx="1">
                  <c:v>24.645689469813021</c:v>
                </c:pt>
                <c:pt idx="2">
                  <c:v>#N/A</c:v>
                </c:pt>
                <c:pt idx="3">
                  <c:v>#N/A</c:v>
                </c:pt>
                <c:pt idx="4">
                  <c:v>7.8543927114540111</c:v>
                </c:pt>
                <c:pt idx="5">
                  <c:v>5.2274474399100086</c:v>
                </c:pt>
                <c:pt idx="6">
                  <c:v>#N/A</c:v>
                </c:pt>
                <c:pt idx="7">
                  <c:v>#N/A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'cost vs emissions'!$B$3:$B$6</c15:f>
                <c15:dlblRangeCache>
                  <c:ptCount val="4"/>
                  <c:pt idx="0">
                    <c:v>High Fossil</c:v>
                  </c:pt>
                  <c:pt idx="1">
                    <c:v>Clean</c:v>
                  </c:pt>
                  <c:pt idx="2">
                    <c:v>Clean 400</c:v>
                  </c:pt>
                  <c:pt idx="3">
                    <c:v>Clean 500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5CBD-3847-A90D-07E7B03B8167}"/>
            </c:ext>
          </c:extLst>
        </c:ser>
        <c:ser>
          <c:idx val="0"/>
          <c:order val="2"/>
          <c:tx>
            <c:strRef>
              <c:f>'cost vs emissions'!$A$11</c:f>
              <c:strCache>
                <c:ptCount val="1"/>
                <c:pt idx="0">
                  <c:v>low growth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1.3757191483877015E-2"/>
                  <c:y val="-6.636968989987363E-2"/>
                </c:manualLayout>
              </c:layout>
              <c:tx>
                <c:rich>
                  <a:bodyPr/>
                  <a:lstStyle/>
                  <a:p>
                    <a:fld id="{A90A62DC-7BA0-CE48-BDAF-52C7FAC5C325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F8C9C3BC-37E1-CD4E-A26E-F0D801100413}" type="YVALUE">
                      <a:rPr lang="en-US"/>
                      <a:pPr/>
                      <a:t>[Y VALUE]</a:t>
                    </a:fld>
                    <a:endParaRPr lang="en-US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5A9C-EE46-AF3F-A76C421A4CE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ADD6B76-21C8-4840-AABB-18BB3A463711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FF942BD0-0490-0849-8585-3DA674CDA1E0}" type="YVALUE">
                      <a:rPr lang="en-US"/>
                      <a:pPr/>
                      <a:t>[Y VALUE]</a:t>
                    </a:fld>
                    <a:endParaRPr lang="en-US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5A9C-EE46-AF3F-A76C421A4CE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A9C-EE46-AF3F-A76C421A4CE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A9C-EE46-AF3F-A76C421A4C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ontserrat" pitchFamily="2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'cost vs emissions'!$F$11:$F$14</c:f>
              <c:numCache>
                <c:formatCode>0%</c:formatCode>
                <c:ptCount val="4"/>
                <c:pt idx="0">
                  <c:v>1.066043267390884</c:v>
                </c:pt>
                <c:pt idx="1">
                  <c:v>4.3768768088682908</c:v>
                </c:pt>
                <c:pt idx="2">
                  <c:v>#N/A</c:v>
                </c:pt>
                <c:pt idx="3">
                  <c:v>#N/A</c:v>
                </c:pt>
              </c:numCache>
            </c:numRef>
          </c:xVal>
          <c:yVal>
            <c:numRef>
              <c:f>'cost vs emissions'!$G$11:$G$14</c:f>
              <c:numCache>
                <c:formatCode>"$"#,##0.0" B/y"</c:formatCode>
                <c:ptCount val="4"/>
                <c:pt idx="0">
                  <c:v>7.8543927114540111</c:v>
                </c:pt>
                <c:pt idx="1">
                  <c:v>5.2274474399100086</c:v>
                </c:pt>
                <c:pt idx="2">
                  <c:v>#N/A</c:v>
                </c:pt>
                <c:pt idx="3">
                  <c:v>#N/A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'cost vs emissions'!$B$3:$B$6</c15:f>
                <c15:dlblRangeCache>
                  <c:ptCount val="4"/>
                  <c:pt idx="0">
                    <c:v>High Fossil</c:v>
                  </c:pt>
                  <c:pt idx="1">
                    <c:v>Clean</c:v>
                  </c:pt>
                  <c:pt idx="2">
                    <c:v>Clean 400</c:v>
                  </c:pt>
                  <c:pt idx="3">
                    <c:v>Clean 500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5A9C-EE46-AF3F-A76C421A4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981936"/>
        <c:axId val="430429456"/>
      </c:scatterChart>
      <c:valAx>
        <c:axId val="429981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Montserrat" pitchFamily="2" charset="77"/>
                    <a:ea typeface="+mn-ea"/>
                    <a:cs typeface="+mn-cs"/>
                  </a:defRPr>
                </a:pPr>
                <a:r>
                  <a:rPr lang="en-US"/>
                  <a:t>Share of 2025-2030 load growth met with clean power and efficiency</a:t>
                </a:r>
              </a:p>
            </c:rich>
          </c:tx>
          <c:layout>
            <c:manualLayout>
              <c:xMode val="edge"/>
              <c:yMode val="edge"/>
              <c:x val="8.6655916057367832E-2"/>
              <c:y val="0.9380864197530863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Montserrat" pitchFamily="2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ontserrat" pitchFamily="2" charset="77"/>
                <a:ea typeface="+mn-ea"/>
                <a:cs typeface="+mn-cs"/>
              </a:defRPr>
            </a:pPr>
            <a:endParaRPr lang="en-US"/>
          </a:p>
        </c:txPr>
        <c:crossAx val="430429456"/>
        <c:crosses val="autoZero"/>
        <c:crossBetween val="midCat"/>
      </c:valAx>
      <c:valAx>
        <c:axId val="430429456"/>
        <c:scaling>
          <c:orientation val="minMax"/>
          <c:max val="7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Montserrat" pitchFamily="2" charset="77"/>
                    <a:ea typeface="+mn-ea"/>
                    <a:cs typeface="+mn-cs"/>
                  </a:defRPr>
                </a:pPr>
                <a:r>
                  <a:rPr lang="en-US"/>
                  <a:t>Difference in cost from 2025 ($B/y)</a:t>
                </a:r>
              </a:p>
            </c:rich>
          </c:tx>
          <c:layout>
            <c:manualLayout>
              <c:xMode val="edge"/>
              <c:yMode val="edge"/>
              <c:x val="3.7507518591426065E-4"/>
              <c:y val="5.7809371050840865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Montserrat" pitchFamily="2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&quot; B&quot;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ontserrat" pitchFamily="2" charset="77"/>
                <a:ea typeface="+mn-ea"/>
                <a:cs typeface="+mn-cs"/>
              </a:defRPr>
            </a:pPr>
            <a:endParaRPr lang="en-US"/>
          </a:p>
        </c:txPr>
        <c:crossAx val="429981936"/>
        <c:crosses val="autoZero"/>
        <c:crossBetween val="midCat"/>
        <c:majorUnit val="2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354603663546799"/>
          <c:y val="0.33564611577349945"/>
          <c:w val="0.17630972827888439"/>
          <c:h val="0.221916132282616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ontserrat" pitchFamily="2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>
          <a:latin typeface="Montserrat" pitchFamily="2" charset="77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467482068899615"/>
          <c:y val="2.7848140690049063E-2"/>
          <c:w val="0.64538666543771228"/>
          <c:h val="0.79985804835348595"/>
        </c:manualLayout>
      </c:layout>
      <c:scatterChart>
        <c:scatterStyle val="lineMarker"/>
        <c:varyColors val="0"/>
        <c:ser>
          <c:idx val="2"/>
          <c:order val="0"/>
          <c:tx>
            <c:strRef>
              <c:f>'cost vs emissions'!$A$3</c:f>
              <c:strCache>
                <c:ptCount val="1"/>
                <c:pt idx="0">
                  <c:v>expected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'cost vs emissions'!$D$3:$D$6</c:f>
              <c:numCache>
                <c:formatCode>0.00</c:formatCode>
                <c:ptCount val="4"/>
                <c:pt idx="0">
                  <c:v>1.84284793310867</c:v>
                </c:pt>
                <c:pt idx="1">
                  <c:v>1.13069976554854</c:v>
                </c:pt>
                <c:pt idx="2">
                  <c:v>#N/A</c:v>
                </c:pt>
                <c:pt idx="3">
                  <c:v>#N/A</c:v>
                </c:pt>
              </c:numCache>
            </c:numRef>
          </c:xVal>
          <c:yVal>
            <c:numRef>
              <c:f>'cost vs emissions'!$H$3:$H$6</c:f>
              <c:numCache>
                <c:formatCode>0.00</c:formatCode>
                <c:ptCount val="4"/>
                <c:pt idx="0">
                  <c:v>88.09113800004198</c:v>
                </c:pt>
                <c:pt idx="1">
                  <c:v>-59.398035467257003</c:v>
                </c:pt>
                <c:pt idx="2">
                  <c:v>#N/A</c:v>
                </c:pt>
                <c:pt idx="3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749-114D-B4CA-BAA1A60067D8}"/>
            </c:ext>
          </c:extLst>
        </c:ser>
        <c:ser>
          <c:idx val="0"/>
          <c:order val="1"/>
          <c:tx>
            <c:strRef>
              <c:f>'cost vs emissions'!$A$7</c:f>
              <c:strCache>
                <c:ptCount val="1"/>
                <c:pt idx="0">
                  <c:v>peak fuel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'cost vs emissions'!$D$7:$D$10</c:f>
              <c:numCache>
                <c:formatCode>0.00</c:formatCode>
                <c:ptCount val="4"/>
                <c:pt idx="0">
                  <c:v>1.8811821233644299</c:v>
                </c:pt>
                <c:pt idx="1">
                  <c:v>1.1311641095226399</c:v>
                </c:pt>
                <c:pt idx="2">
                  <c:v>#N/A</c:v>
                </c:pt>
                <c:pt idx="3">
                  <c:v>#N/A</c:v>
                </c:pt>
              </c:numCache>
            </c:numRef>
          </c:xVal>
          <c:yVal>
            <c:numRef>
              <c:f>'cost vs emissions'!$H$7:$H$10</c:f>
              <c:numCache>
                <c:formatCode>0.00</c:formatCode>
                <c:ptCount val="4"/>
                <c:pt idx="0">
                  <c:v>136.30351066985497</c:v>
                </c:pt>
                <c:pt idx="1">
                  <c:v>-27.177908249807018</c:v>
                </c:pt>
                <c:pt idx="2">
                  <c:v>#N/A</c:v>
                </c:pt>
                <c:pt idx="3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749-114D-B4CA-BAA1A60067D8}"/>
            </c:ext>
          </c:extLst>
        </c:ser>
        <c:ser>
          <c:idx val="1"/>
          <c:order val="2"/>
          <c:tx>
            <c:strRef>
              <c:f>'cost vs emissions'!$A$11</c:f>
              <c:strCache>
                <c:ptCount val="1"/>
                <c:pt idx="0">
                  <c:v>low growth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'cost vs emissions'!$D$11:$D$14</c:f>
              <c:numCache>
                <c:formatCode>0.00</c:formatCode>
                <c:ptCount val="4"/>
                <c:pt idx="0">
                  <c:v>1.58309575582479</c:v>
                </c:pt>
                <c:pt idx="1">
                  <c:v>0.92198577445123198</c:v>
                </c:pt>
                <c:pt idx="2">
                  <c:v>#N/A</c:v>
                </c:pt>
                <c:pt idx="3">
                  <c:v>#N/A</c:v>
                </c:pt>
              </c:numCache>
            </c:numRef>
          </c:xVal>
          <c:yVal>
            <c:numRef>
              <c:f>'cost vs emissions'!$H$11:$H$14</c:f>
              <c:numCache>
                <c:formatCode>0.00</c:formatCode>
                <c:ptCount val="4"/>
                <c:pt idx="0">
                  <c:v>14.289865829633991</c:v>
                </c:pt>
                <c:pt idx="1">
                  <c:v>-120.55907571662162</c:v>
                </c:pt>
                <c:pt idx="2">
                  <c:v>#N/A</c:v>
                </c:pt>
                <c:pt idx="3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749-114D-B4CA-BAA1A60067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981936"/>
        <c:axId val="430429456"/>
      </c:scatterChart>
      <c:valAx>
        <c:axId val="429981936"/>
        <c:scaling>
          <c:orientation val="minMax"/>
          <c:max val="2"/>
          <c:min val="0.7500000000000001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2030 emissions (GtCO2/y)</a:t>
                </a:r>
              </a:p>
            </c:rich>
          </c:tx>
          <c:layout>
            <c:manualLayout>
              <c:xMode val="edge"/>
              <c:yMode val="edge"/>
              <c:x val="0.33882272957638543"/>
              <c:y val="0.933482064741907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0429456"/>
        <c:crossesAt val="-150"/>
        <c:crossBetween val="midCat"/>
        <c:majorUnit val="0.25"/>
      </c:valAx>
      <c:valAx>
        <c:axId val="430429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Cost</a:t>
                </a:r>
                <a:r>
                  <a:rPr lang="en-US" baseline="0"/>
                  <a:t> d</a:t>
                </a:r>
                <a:r>
                  <a:rPr lang="en-US"/>
                  <a:t>ifference from 2025 </a:t>
                </a:r>
                <a:r>
                  <a:rPr lang="en-US" baseline="0"/>
                  <a:t> incl. SCC</a:t>
                </a:r>
                <a:r>
                  <a:rPr lang="en-US"/>
                  <a:t> ($B/y)</a:t>
                </a:r>
              </a:p>
            </c:rich>
          </c:tx>
          <c:layout>
            <c:manualLayout>
              <c:xMode val="edge"/>
              <c:yMode val="edge"/>
              <c:x val="1.2510238816499143E-3"/>
              <c:y val="4.124230501223982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&quot; B&quot;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99819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934962330513284"/>
          <c:y val="0.12394690499570218"/>
          <c:w val="0.14205482085617008"/>
          <c:h val="0.21166938163081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357909</xdr:colOff>
      <xdr:row>19</xdr:row>
      <xdr:rowOff>127003</xdr:rowOff>
    </xdr:from>
    <xdr:to>
      <xdr:col>6</xdr:col>
      <xdr:colOff>762000</xdr:colOff>
      <xdr:row>39</xdr:row>
      <xdr:rowOff>85439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0F61053-51A9-D94D-A4D0-A2BFEF928D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392543</xdr:colOff>
      <xdr:row>42</xdr:row>
      <xdr:rowOff>69272</xdr:rowOff>
    </xdr:from>
    <xdr:to>
      <xdr:col>6</xdr:col>
      <xdr:colOff>792385</xdr:colOff>
      <xdr:row>62</xdr:row>
      <xdr:rowOff>27709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E9FA23B-ADFF-3B46-BBEA-DA717D6359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415637</xdr:colOff>
      <xdr:row>19</xdr:row>
      <xdr:rowOff>1</xdr:rowOff>
    </xdr:from>
    <xdr:to>
      <xdr:col>21</xdr:col>
      <xdr:colOff>113145</xdr:colOff>
      <xdr:row>40</xdr:row>
      <xdr:rowOff>195118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35000C4-1F4C-5E40-AB40-030E83E9AA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0.91127</cdr:x>
      <cdr:y>0.82679</cdr:y>
    </cdr:from>
    <cdr:to>
      <cdr:x>1</cdr:x>
      <cdr:y>1</cdr:y>
    </cdr:to>
    <cdr:pic>
      <cdr:nvPicPr>
        <cdr:cNvPr id="3" name="Picture 2">
          <a:extLst xmlns:a="http://schemas.openxmlformats.org/drawingml/2006/main">
            <a:ext uri="{FF2B5EF4-FFF2-40B4-BE49-F238E27FC236}">
              <a16:creationId xmlns:a16="http://schemas.microsoft.com/office/drawing/2014/main" id="{738E25E4-54EA-4681-FFFA-E34BB114F254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7469909" y="3402076"/>
          <a:ext cx="727364" cy="712724"/>
        </a:xfrm>
        <a:prstGeom xmlns:a="http://schemas.openxmlformats.org/drawingml/2006/main" prst="rect">
          <a:avLst/>
        </a:prstGeom>
      </cdr:spPr>
    </cdr:pic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0.27281</cdr:x>
      <cdr:y>0.02806</cdr:y>
    </cdr:from>
    <cdr:to>
      <cdr:x>0.27281</cdr:x>
      <cdr:y>0.84736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2DDEB89D-A5D0-8225-6A8F-D18A20185B1D}"/>
            </a:ext>
          </a:extLst>
        </cdr:cNvPr>
        <cdr:cNvCxnSpPr/>
      </cdr:nvCxnSpPr>
      <cdr:spPr>
        <a:xfrm xmlns:a="http://schemas.openxmlformats.org/drawingml/2006/main">
          <a:off x="2235170" y="115455"/>
          <a:ext cx="0" cy="3371273"/>
        </a:xfrm>
        <a:prstGeom xmlns:a="http://schemas.openxmlformats.org/drawingml/2006/main" prst="line">
          <a:avLst/>
        </a:prstGeom>
        <a:ln xmlns:a="http://schemas.openxmlformats.org/drawingml/2006/main" w="28575">
          <a:solidFill>
            <a:srgbClr val="00B0F0"/>
          </a:solidFill>
          <a:prstDash val="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0.91158</cdr:x>
      <cdr:y>0.82679</cdr:y>
    </cdr:from>
    <cdr:to>
      <cdr:x>1</cdr:x>
      <cdr:y>1</cdr:y>
    </cdr:to>
    <cdr:pic>
      <cdr:nvPicPr>
        <cdr:cNvPr id="2" name="Picture 1">
          <a:extLst xmlns:a="http://schemas.openxmlformats.org/drawingml/2006/main">
            <a:ext uri="{FF2B5EF4-FFF2-40B4-BE49-F238E27FC236}">
              <a16:creationId xmlns:a16="http://schemas.microsoft.com/office/drawing/2014/main" id="{6556284B-B76F-DCE4-ACA1-27D857837959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7468616" y="3402076"/>
          <a:ext cx="724408" cy="712724"/>
        </a:xfrm>
        <a:prstGeom xmlns:a="http://schemas.openxmlformats.org/drawingml/2006/main" prst="rect">
          <a:avLst/>
        </a:prstGeom>
      </cdr:spPr>
    </cdr:pic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0.14272</cdr:x>
      <cdr:y>0.42796</cdr:y>
    </cdr:from>
    <cdr:to>
      <cdr:x>0.78979</cdr:x>
      <cdr:y>0.42796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892E94DC-C091-92A8-B23F-E0D9420B6428}"/>
            </a:ext>
          </a:extLst>
        </cdr:cNvPr>
        <cdr:cNvCxnSpPr/>
      </cdr:nvCxnSpPr>
      <cdr:spPr>
        <a:xfrm xmlns:a="http://schemas.openxmlformats.org/drawingml/2006/main">
          <a:off x="1362362" y="1951182"/>
          <a:ext cx="6176818" cy="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718AE-BB94-6E44-8D91-8B7316D18574}">
  <sheetPr codeName="Sheet1"/>
  <dimension ref="A1:S38"/>
  <sheetViews>
    <sheetView tabSelected="1" zoomScale="110" zoomScaleNormal="110" workbookViewId="0"/>
  </sheetViews>
  <sheetFormatPr baseColWidth="10" defaultRowHeight="16" x14ac:dyDescent="0.2"/>
  <cols>
    <col min="1" max="2" width="18.6640625" customWidth="1"/>
    <col min="3" max="3" width="20.1640625" customWidth="1"/>
    <col min="4" max="4" width="19.6640625" customWidth="1"/>
    <col min="5" max="5" width="14.1640625" customWidth="1"/>
    <col min="8" max="8" width="12.6640625" bestFit="1" customWidth="1"/>
    <col min="9" max="10" width="12.6640625" customWidth="1"/>
    <col min="12" max="12" width="20" customWidth="1"/>
    <col min="13" max="13" width="11" customWidth="1"/>
  </cols>
  <sheetData>
    <row r="1" spans="1:19" x14ac:dyDescent="0.2">
      <c r="A1" t="s">
        <v>28</v>
      </c>
      <c r="B1" t="s">
        <v>29</v>
      </c>
      <c r="C1" t="s">
        <v>0</v>
      </c>
      <c r="D1" t="s">
        <v>1</v>
      </c>
      <c r="E1" t="s">
        <v>3</v>
      </c>
      <c r="F1" t="s">
        <v>9</v>
      </c>
      <c r="G1" t="s">
        <v>15</v>
      </c>
      <c r="H1" t="s">
        <v>39</v>
      </c>
      <c r="I1" t="s">
        <v>27</v>
      </c>
      <c r="L1" t="s">
        <v>16</v>
      </c>
      <c r="Q1" s="6" t="s">
        <v>31</v>
      </c>
      <c r="R1" t="s">
        <v>30</v>
      </c>
    </row>
    <row r="2" spans="1:19" x14ac:dyDescent="0.2">
      <c r="A2" t="s">
        <v>8</v>
      </c>
      <c r="B2" t="str">
        <f>PROPER(SUBSTITUTE(C2, "_", " "))</f>
        <v>S20X1</v>
      </c>
      <c r="C2" t="s">
        <v>14</v>
      </c>
      <c r="D2" s="2">
        <f t="shared" ref="D2:D14" si="0">VLOOKUP($C2, $L$3:$O$34, 3, FALSE)</f>
        <v>1.5509183902338901</v>
      </c>
      <c r="E2" s="2">
        <f t="shared" ref="E2:E14" si="1">VLOOKUP($C2, $L$3:$R$34, 6, FALSE)</f>
        <v>167.40612537004299</v>
      </c>
      <c r="F2" s="3" cm="1">
        <f t="array" ref="F2:F16">VLOOKUP($C2:$C16, $L$3:$S$33, 8, FALSE)</f>
        <v>0</v>
      </c>
      <c r="G2" s="5">
        <f>E2-E$2</f>
        <v>0</v>
      </c>
      <c r="H2" s="2">
        <f>G2+200*(D2-D$2)</f>
        <v>0</v>
      </c>
      <c r="I2" s="2"/>
      <c r="J2" s="2"/>
      <c r="L2" t="s">
        <v>18</v>
      </c>
      <c r="M2" t="s">
        <v>19</v>
      </c>
      <c r="N2" t="s">
        <v>17</v>
      </c>
      <c r="O2" t="s">
        <v>21</v>
      </c>
      <c r="P2" t="s">
        <v>22</v>
      </c>
      <c r="Q2" t="s">
        <v>20</v>
      </c>
      <c r="R2" t="s">
        <v>32</v>
      </c>
      <c r="S2" t="s">
        <v>9</v>
      </c>
    </row>
    <row r="3" spans="1:19" x14ac:dyDescent="0.2">
      <c r="A3" t="s">
        <v>12</v>
      </c>
      <c r="B3" t="str">
        <f t="shared" ref="B3:B14" si="2">PROPER(SUBSTITUTE(C3, "_", " "))</f>
        <v>High Fossil</v>
      </c>
      <c r="C3" t="s">
        <v>2</v>
      </c>
      <c r="D3" s="2">
        <f t="shared" si="0"/>
        <v>1.84284793310867</v>
      </c>
      <c r="E3" s="2">
        <f t="shared" si="1"/>
        <v>197.11135479512899</v>
      </c>
      <c r="F3" s="3">
        <v>0.38643693040768434</v>
      </c>
      <c r="G3" s="5">
        <f t="shared" ref="G3" si="3">E3-E$2</f>
        <v>29.705229425086003</v>
      </c>
      <c r="H3" s="2">
        <f t="shared" ref="H3:H14" si="4">G3+200*(D3-D$2)</f>
        <v>88.09113800004198</v>
      </c>
      <c r="I3" s="2"/>
      <c r="J3" s="2"/>
      <c r="L3" t="s">
        <v>14</v>
      </c>
      <c r="M3">
        <v>2025</v>
      </c>
      <c r="N3">
        <v>1.5509183902338901</v>
      </c>
      <c r="O3">
        <v>2012.0294978132399</v>
      </c>
      <c r="P3">
        <v>2469.1794929187699</v>
      </c>
      <c r="Q3">
        <v>167.40612537004299</v>
      </c>
    </row>
    <row r="4" spans="1:19" x14ac:dyDescent="0.2">
      <c r="A4" t="s">
        <v>12</v>
      </c>
      <c r="B4" t="str">
        <f t="shared" si="2"/>
        <v>Clean</v>
      </c>
      <c r="C4" t="s">
        <v>23</v>
      </c>
      <c r="D4" s="2">
        <f t="shared" si="0"/>
        <v>1.13069976554854</v>
      </c>
      <c r="E4" s="2">
        <f t="shared" si="1"/>
        <v>192.05181483985601</v>
      </c>
      <c r="F4" s="3">
        <v>1.6014004180371062</v>
      </c>
      <c r="G4" s="5">
        <f t="shared" ref="G4:G14" si="5">E4-E$2</f>
        <v>24.645689469813021</v>
      </c>
      <c r="H4" s="2">
        <f t="shared" si="4"/>
        <v>-59.398035467257003</v>
      </c>
      <c r="I4" s="2">
        <f>G3-G4</f>
        <v>5.0595399552729816</v>
      </c>
      <c r="J4" s="2"/>
      <c r="L4" t="s">
        <v>23</v>
      </c>
      <c r="M4">
        <v>2030</v>
      </c>
      <c r="N4">
        <v>1.13069976554854</v>
      </c>
      <c r="O4">
        <v>3076.7680909826499</v>
      </c>
      <c r="P4">
        <v>1999.48702548439</v>
      </c>
      <c r="Q4">
        <v>192.05181483985601</v>
      </c>
      <c r="R4">
        <v>185.951780730341</v>
      </c>
      <c r="S4" s="4">
        <f>(O4+R4-O$3)/(SUM(O4:P4,R4)-SUM(O$3:P$3))</f>
        <v>1.6014004180371062</v>
      </c>
    </row>
    <row r="5" spans="1:19" x14ac:dyDescent="0.2">
      <c r="A5" t="s">
        <v>12</v>
      </c>
      <c r="B5" t="str">
        <f t="shared" si="2"/>
        <v>Clean 400</v>
      </c>
      <c r="C5" t="s">
        <v>10</v>
      </c>
      <c r="D5" s="2" t="e">
        <f t="shared" si="0"/>
        <v>#N/A</v>
      </c>
      <c r="E5" s="2" t="e">
        <f t="shared" si="1"/>
        <v>#N/A</v>
      </c>
      <c r="F5" s="3" t="e">
        <v>#N/A</v>
      </c>
      <c r="G5" s="5" t="e">
        <f t="shared" si="5"/>
        <v>#N/A</v>
      </c>
      <c r="H5" s="2" t="e">
        <f t="shared" si="4"/>
        <v>#N/A</v>
      </c>
      <c r="I5" s="2"/>
      <c r="J5" s="2"/>
      <c r="L5" t="s">
        <v>24</v>
      </c>
      <c r="M5">
        <v>2030</v>
      </c>
      <c r="N5">
        <v>1.13069977395416</v>
      </c>
      <c r="O5">
        <v>3076.6157233158401</v>
      </c>
      <c r="P5">
        <v>1999.4870684263699</v>
      </c>
      <c r="Q5">
        <v>192.051817028909</v>
      </c>
      <c r="S5" s="4">
        <f t="shared" ref="S5:S11" si="6">(O5+R5-O$3)/(SUM(O5:P5,R5)-SUM(O$3:P$3))</f>
        <v>1.7895399543495103</v>
      </c>
    </row>
    <row r="6" spans="1:19" x14ac:dyDescent="0.2">
      <c r="A6" t="s">
        <v>12</v>
      </c>
      <c r="B6" t="str">
        <f t="shared" si="2"/>
        <v>Clean 500</v>
      </c>
      <c r="C6" t="s">
        <v>11</v>
      </c>
      <c r="D6" s="2" t="e">
        <f t="shared" si="0"/>
        <v>#N/A</v>
      </c>
      <c r="E6" s="2" t="e">
        <f t="shared" si="1"/>
        <v>#N/A</v>
      </c>
      <c r="F6" s="3" t="e">
        <v>#N/A</v>
      </c>
      <c r="G6" s="5" t="e">
        <f t="shared" si="5"/>
        <v>#N/A</v>
      </c>
      <c r="H6" s="2" t="e">
        <f t="shared" si="4"/>
        <v>#N/A</v>
      </c>
      <c r="I6" s="2"/>
      <c r="J6" s="2"/>
      <c r="L6" t="s">
        <v>2</v>
      </c>
      <c r="M6">
        <v>2030</v>
      </c>
      <c r="N6">
        <v>1.84284793310867</v>
      </c>
      <c r="O6">
        <v>2314.2701713152001</v>
      </c>
      <c r="P6">
        <v>2949.06042767796</v>
      </c>
      <c r="Q6">
        <v>197.11135479512899</v>
      </c>
      <c r="S6" s="4">
        <f t="shared" si="6"/>
        <v>0.38643693040768434</v>
      </c>
    </row>
    <row r="7" spans="1:19" x14ac:dyDescent="0.2">
      <c r="A7" t="s">
        <v>13</v>
      </c>
      <c r="B7" t="str">
        <f t="shared" si="2"/>
        <v>Peak Fuel High Fossil</v>
      </c>
      <c r="C7" t="str" cm="1">
        <f t="array" ref="C7:C10">"peak_fuel_"&amp;C3:C6</f>
        <v>peak_fuel_high_fossil</v>
      </c>
      <c r="D7" s="2">
        <f t="shared" si="0"/>
        <v>1.8811821233644299</v>
      </c>
      <c r="E7" s="2">
        <f t="shared" si="1"/>
        <v>237.65688941379</v>
      </c>
      <c r="F7" s="3">
        <v>0.38703453823810741</v>
      </c>
      <c r="G7" s="5">
        <f t="shared" si="5"/>
        <v>70.250764043747012</v>
      </c>
      <c r="H7" s="2">
        <f t="shared" si="4"/>
        <v>136.30351066985497</v>
      </c>
      <c r="I7" s="2"/>
      <c r="J7" s="2"/>
      <c r="L7" t="s">
        <v>7</v>
      </c>
      <c r="M7">
        <v>2030</v>
      </c>
      <c r="N7">
        <v>1.84947361372149</v>
      </c>
      <c r="O7">
        <v>2307.6339180332402</v>
      </c>
      <c r="P7">
        <v>2955.0256406551898</v>
      </c>
      <c r="Q7">
        <v>213.36359262956401</v>
      </c>
      <c r="S7" s="4">
        <f t="shared" si="6"/>
        <v>0.3782765440852367</v>
      </c>
    </row>
    <row r="8" spans="1:19" x14ac:dyDescent="0.2">
      <c r="A8" t="s">
        <v>13</v>
      </c>
      <c r="B8" t="str">
        <f t="shared" si="2"/>
        <v>Peak Fuel Clean</v>
      </c>
      <c r="C8" t="str">
        <v>peak_fuel_clean</v>
      </c>
      <c r="D8" s="2">
        <f t="shared" si="0"/>
        <v>1.1311641095226399</v>
      </c>
      <c r="E8" s="2">
        <f t="shared" si="1"/>
        <v>224.17907326248601</v>
      </c>
      <c r="F8" s="3">
        <v>1.6089671398070815</v>
      </c>
      <c r="G8" s="5">
        <f t="shared" si="5"/>
        <v>56.772947892443028</v>
      </c>
      <c r="H8" s="2">
        <f t="shared" si="4"/>
        <v>-27.177908249807018</v>
      </c>
      <c r="I8" s="2">
        <f>G7-G8</f>
        <v>13.477816151303983</v>
      </c>
      <c r="J8" s="2"/>
      <c r="L8" t="s">
        <v>25</v>
      </c>
      <c r="M8">
        <v>2030</v>
      </c>
      <c r="N8">
        <v>0.92198577445123198</v>
      </c>
      <c r="O8">
        <v>3051.5858975649398</v>
      </c>
      <c r="P8">
        <v>1523.66735390606</v>
      </c>
      <c r="Q8">
        <v>172.63357280995299</v>
      </c>
      <c r="R8">
        <f>R4</f>
        <v>185.951780730341</v>
      </c>
      <c r="S8" s="4">
        <f t="shared" si="6"/>
        <v>4.3768768088682908</v>
      </c>
    </row>
    <row r="9" spans="1:19" x14ac:dyDescent="0.2">
      <c r="A9" t="s">
        <v>13</v>
      </c>
      <c r="B9" t="str">
        <f t="shared" si="2"/>
        <v>Peak Fuel Clean 400</v>
      </c>
      <c r="C9" t="str">
        <v>peak_fuel_clean_400</v>
      </c>
      <c r="D9" s="2" t="e">
        <f t="shared" si="0"/>
        <v>#N/A</v>
      </c>
      <c r="E9" s="2" t="e">
        <f t="shared" si="1"/>
        <v>#N/A</v>
      </c>
      <c r="F9" s="3" t="e">
        <v>#N/A</v>
      </c>
      <c r="G9" s="5" t="e">
        <f t="shared" si="5"/>
        <v>#N/A</v>
      </c>
      <c r="H9" s="2" t="e">
        <f t="shared" si="4"/>
        <v>#N/A</v>
      </c>
      <c r="I9" s="2"/>
      <c r="J9" s="2"/>
      <c r="L9" t="s">
        <v>6</v>
      </c>
      <c r="M9">
        <v>2030</v>
      </c>
      <c r="N9">
        <v>1.58309575582479</v>
      </c>
      <c r="O9">
        <v>2305.3241088807799</v>
      </c>
      <c r="P9">
        <v>2451.0093726098198</v>
      </c>
      <c r="Q9">
        <v>175.260518081497</v>
      </c>
      <c r="S9" s="4">
        <f t="shared" si="6"/>
        <v>1.066043267390884</v>
      </c>
    </row>
    <row r="10" spans="1:19" x14ac:dyDescent="0.2">
      <c r="A10" t="s">
        <v>13</v>
      </c>
      <c r="B10" t="str">
        <f t="shared" si="2"/>
        <v>Peak Fuel Clean 500</v>
      </c>
      <c r="C10" t="str">
        <v>peak_fuel_clean_500</v>
      </c>
      <c r="D10" s="2" t="e">
        <f t="shared" si="0"/>
        <v>#N/A</v>
      </c>
      <c r="E10" s="2" t="e">
        <f t="shared" si="1"/>
        <v>#N/A</v>
      </c>
      <c r="F10" s="3" t="e">
        <v>#N/A</v>
      </c>
      <c r="G10" s="5" t="e">
        <f t="shared" si="5"/>
        <v>#N/A</v>
      </c>
      <c r="H10" s="2" t="e">
        <f t="shared" si="4"/>
        <v>#N/A</v>
      </c>
      <c r="I10" s="2"/>
      <c r="J10" s="2"/>
      <c r="L10" t="s">
        <v>26</v>
      </c>
      <c r="M10">
        <v>2030</v>
      </c>
      <c r="N10">
        <v>1.1311641095226399</v>
      </c>
      <c r="O10">
        <v>3076.8151391035699</v>
      </c>
      <c r="P10">
        <v>1995.7963070887999</v>
      </c>
      <c r="Q10">
        <v>224.17907326248601</v>
      </c>
      <c r="R10">
        <f>R4</f>
        <v>185.951780730341</v>
      </c>
      <c r="S10" s="4">
        <f t="shared" si="6"/>
        <v>1.6089671398070815</v>
      </c>
    </row>
    <row r="11" spans="1:19" x14ac:dyDescent="0.2">
      <c r="A11" t="s">
        <v>5</v>
      </c>
      <c r="B11" t="str">
        <f t="shared" si="2"/>
        <v>Low Growth High Fossil</v>
      </c>
      <c r="C11" t="str" cm="1">
        <f t="array" ref="C11:C14">"low_growth_"&amp;C3:C6</f>
        <v>low_growth_high_fossil</v>
      </c>
      <c r="D11" s="2">
        <f t="shared" si="0"/>
        <v>1.58309575582479</v>
      </c>
      <c r="E11" s="2">
        <f t="shared" si="1"/>
        <v>175.260518081497</v>
      </c>
      <c r="F11" s="3">
        <v>1.066043267390884</v>
      </c>
      <c r="G11" s="5">
        <f t="shared" si="5"/>
        <v>7.8543927114540111</v>
      </c>
      <c r="H11" s="2">
        <f t="shared" si="4"/>
        <v>14.289865829633991</v>
      </c>
      <c r="I11" s="2"/>
      <c r="J11" s="2"/>
      <c r="L11" t="s">
        <v>4</v>
      </c>
      <c r="M11">
        <v>2030</v>
      </c>
      <c r="N11">
        <v>1.8811821233644299</v>
      </c>
      <c r="O11">
        <v>2313.8154133631001</v>
      </c>
      <c r="P11">
        <v>2947.13255602357</v>
      </c>
      <c r="Q11">
        <v>237.65688941379</v>
      </c>
      <c r="S11" s="4">
        <f t="shared" si="6"/>
        <v>0.38703453823810741</v>
      </c>
    </row>
    <row r="12" spans="1:19" x14ac:dyDescent="0.2">
      <c r="A12" t="s">
        <v>5</v>
      </c>
      <c r="B12" t="str">
        <f t="shared" si="2"/>
        <v>Low Growth Clean</v>
      </c>
      <c r="C12" t="str">
        <v>low_growth_clean</v>
      </c>
      <c r="D12" s="2">
        <f t="shared" si="0"/>
        <v>0.92198577445123198</v>
      </c>
      <c r="E12" s="2">
        <f t="shared" si="1"/>
        <v>172.63357280995299</v>
      </c>
      <c r="F12" s="3">
        <v>4.3768768088682908</v>
      </c>
      <c r="G12" s="5">
        <f t="shared" si="5"/>
        <v>5.2274474399100086</v>
      </c>
      <c r="H12" s="2">
        <f t="shared" si="4"/>
        <v>-120.55907571662162</v>
      </c>
      <c r="I12" s="2">
        <f>G11-G12</f>
        <v>2.6269452715440025</v>
      </c>
      <c r="J12" s="2"/>
      <c r="R12" s="4"/>
    </row>
    <row r="13" spans="1:19" x14ac:dyDescent="0.2">
      <c r="A13" t="s">
        <v>5</v>
      </c>
      <c r="B13" t="str">
        <f t="shared" si="2"/>
        <v>Low Growth Clean 400</v>
      </c>
      <c r="C13" t="str">
        <v>low_growth_clean_400</v>
      </c>
      <c r="D13" s="2" t="e">
        <f t="shared" si="0"/>
        <v>#N/A</v>
      </c>
      <c r="E13" s="2" t="e">
        <f t="shared" si="1"/>
        <v>#N/A</v>
      </c>
      <c r="F13" s="3" t="e">
        <v>#N/A</v>
      </c>
      <c r="G13" s="5" t="e">
        <f t="shared" si="5"/>
        <v>#N/A</v>
      </c>
      <c r="H13" s="2" t="e">
        <f t="shared" si="4"/>
        <v>#N/A</v>
      </c>
      <c r="I13" s="2"/>
      <c r="J13" s="2"/>
      <c r="R13" s="4"/>
    </row>
    <row r="14" spans="1:19" x14ac:dyDescent="0.2">
      <c r="A14" t="s">
        <v>5</v>
      </c>
      <c r="B14" t="str">
        <f t="shared" si="2"/>
        <v>Low Growth Clean 500</v>
      </c>
      <c r="C14" t="str">
        <v>low_growth_clean_500</v>
      </c>
      <c r="D14" s="2" t="e">
        <f t="shared" si="0"/>
        <v>#N/A</v>
      </c>
      <c r="E14" s="2" t="e">
        <f t="shared" si="1"/>
        <v>#N/A</v>
      </c>
      <c r="F14" s="3" t="e">
        <v>#N/A</v>
      </c>
      <c r="G14" s="5" t="e">
        <f t="shared" si="5"/>
        <v>#N/A</v>
      </c>
      <c r="H14" s="2" t="e">
        <f t="shared" si="4"/>
        <v>#N/A</v>
      </c>
      <c r="I14" s="2"/>
      <c r="J14" s="2"/>
      <c r="R14" s="4"/>
    </row>
    <row r="15" spans="1:19" x14ac:dyDescent="0.2">
      <c r="D15" s="2"/>
      <c r="E15" s="2"/>
      <c r="F15" s="3" t="e">
        <v>#N/A</v>
      </c>
      <c r="R15" s="4"/>
    </row>
    <row r="16" spans="1:19" x14ac:dyDescent="0.2">
      <c r="D16" s="2"/>
      <c r="E16" s="2"/>
      <c r="F16" s="3" t="e">
        <v>#N/A</v>
      </c>
      <c r="R16" s="4"/>
    </row>
    <row r="17" spans="4:18" x14ac:dyDescent="0.2">
      <c r="D17" s="2"/>
      <c r="E17" s="2"/>
      <c r="F17" s="3"/>
      <c r="H17" t="s">
        <v>33</v>
      </c>
      <c r="I17" s="5">
        <f>G3</f>
        <v>29.705229425086003</v>
      </c>
      <c r="R17" s="4"/>
    </row>
    <row r="18" spans="4:18" x14ac:dyDescent="0.2">
      <c r="D18" s="2"/>
      <c r="E18" s="2"/>
      <c r="F18" s="3"/>
      <c r="H18" t="s">
        <v>34</v>
      </c>
      <c r="I18" s="5">
        <f>G3-G4</f>
        <v>5.0595399552729816</v>
      </c>
      <c r="R18" s="4"/>
    </row>
    <row r="19" spans="4:18" x14ac:dyDescent="0.2">
      <c r="D19" s="2"/>
      <c r="E19" s="2"/>
      <c r="F19" s="3"/>
      <c r="H19" t="s">
        <v>35</v>
      </c>
      <c r="I19" s="8">
        <f>I18/I17</f>
        <v>0.17032489070763449</v>
      </c>
      <c r="R19" s="4"/>
    </row>
    <row r="20" spans="4:18" x14ac:dyDescent="0.2">
      <c r="D20" s="2"/>
      <c r="E20" s="2"/>
      <c r="F20" s="3"/>
      <c r="H20" t="s">
        <v>36</v>
      </c>
      <c r="I20" s="5">
        <f>G7-G3</f>
        <v>40.545534618661009</v>
      </c>
    </row>
    <row r="21" spans="4:18" x14ac:dyDescent="0.2">
      <c r="D21" s="2"/>
      <c r="E21" s="2"/>
      <c r="F21" s="3"/>
      <c r="H21" t="s">
        <v>37</v>
      </c>
      <c r="I21" s="5">
        <f>I20-(G8-G4)</f>
        <v>8.4182761960310017</v>
      </c>
    </row>
    <row r="22" spans="4:18" x14ac:dyDescent="0.2">
      <c r="D22" s="2"/>
      <c r="E22" s="2"/>
      <c r="F22" s="3"/>
      <c r="H22" t="s">
        <v>37</v>
      </c>
      <c r="I22" s="8">
        <f>I21/I20</f>
        <v>0.20762523605143204</v>
      </c>
    </row>
    <row r="23" spans="4:18" x14ac:dyDescent="0.2">
      <c r="D23" s="2"/>
      <c r="E23" s="2"/>
      <c r="F23" s="3"/>
      <c r="H23" t="s">
        <v>38</v>
      </c>
      <c r="I23" s="7">
        <f>G7-G8</f>
        <v>13.477816151303983</v>
      </c>
    </row>
    <row r="24" spans="4:18" x14ac:dyDescent="0.2">
      <c r="D24" s="2"/>
      <c r="E24" s="2"/>
      <c r="F24" s="3"/>
    </row>
    <row r="25" spans="4:18" x14ac:dyDescent="0.2">
      <c r="D25" s="2"/>
      <c r="E25" s="2"/>
      <c r="F25" s="3"/>
    </row>
    <row r="26" spans="4:18" x14ac:dyDescent="0.2">
      <c r="D26" s="2"/>
      <c r="E26" s="2"/>
      <c r="F26" s="3"/>
    </row>
    <row r="27" spans="4:18" x14ac:dyDescent="0.2">
      <c r="D27" s="2"/>
      <c r="E27" s="2"/>
      <c r="F27" s="3"/>
    </row>
    <row r="28" spans="4:18" x14ac:dyDescent="0.2">
      <c r="D28" s="2"/>
      <c r="E28" s="2"/>
      <c r="F28" s="3"/>
    </row>
    <row r="29" spans="4:18" x14ac:dyDescent="0.2">
      <c r="D29" s="2"/>
      <c r="E29" s="2"/>
      <c r="F29" s="3"/>
    </row>
    <row r="30" spans="4:18" x14ac:dyDescent="0.2">
      <c r="D30" s="2"/>
      <c r="E30" s="2"/>
      <c r="F30" s="3"/>
    </row>
    <row r="31" spans="4:18" x14ac:dyDescent="0.2">
      <c r="D31" s="2"/>
      <c r="E31" s="2"/>
      <c r="F31" s="3"/>
    </row>
    <row r="32" spans="4:18" x14ac:dyDescent="0.2">
      <c r="D32" s="2"/>
      <c r="E32" s="2"/>
      <c r="F32" s="3"/>
    </row>
    <row r="33" spans="4:5" x14ac:dyDescent="0.2">
      <c r="D33" s="2"/>
      <c r="E33" s="1"/>
    </row>
    <row r="34" spans="4:5" x14ac:dyDescent="0.2">
      <c r="D34" s="2"/>
      <c r="E34" s="1"/>
    </row>
    <row r="35" spans="4:5" x14ac:dyDescent="0.2">
      <c r="D35" s="2"/>
      <c r="E35" s="1"/>
    </row>
    <row r="36" spans="4:5" x14ac:dyDescent="0.2">
      <c r="D36" s="2"/>
      <c r="E36" s="1"/>
    </row>
    <row r="37" spans="4:5" x14ac:dyDescent="0.2">
      <c r="D37" s="2"/>
      <c r="E37" s="1"/>
    </row>
    <row r="38" spans="4:5" x14ac:dyDescent="0.2">
      <c r="D38" s="2"/>
      <c r="E38" s="1"/>
    </row>
  </sheetData>
  <sortState xmlns:xlrd2="http://schemas.microsoft.com/office/spreadsheetml/2017/richdata2" ref="L3:O18">
    <sortCondition ref="L3:L18"/>
    <sortCondition descending="1" ref="N3:N18"/>
  </sortState>
  <phoneticPr fontId="1" type="noConversion"/>
  <pageMargins left="0.7" right="0.7" top="0.75" bottom="0.75" header="0.3" footer="0.3"/>
  <pageSetup orientation="portrait" horizontalDpi="0" verticalDpi="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E2EF3AF50F2594E8CFB88B65572827E" ma:contentTypeVersion="10" ma:contentTypeDescription="Create a new document." ma:contentTypeScope="" ma:versionID="a33f5ba277e803051ddec0c2f3ebdf97">
  <xsd:schema xmlns:xsd="http://www.w3.org/2001/XMLSchema" xmlns:xs="http://www.w3.org/2001/XMLSchema" xmlns:p="http://schemas.microsoft.com/office/2006/metadata/properties" xmlns:ns2="a92bd8f1-c682-480b-a293-fac44964c998" targetNamespace="http://schemas.microsoft.com/office/2006/metadata/properties" ma:root="true" ma:fieldsID="eb62609f8c3c2c61753a70ad7027dc26" ns2:_="">
    <xsd:import namespace="a92bd8f1-c682-480b-a293-fac44964c9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bd8f1-c682-480b-a293-fac44964c9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383D29D-B81E-419B-A632-579826696601}">
  <ds:schemaRefs>
    <ds:schemaRef ds:uri="http://schemas.microsoft.com/office/2006/documentManagement/typ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  <ds:schemaRef ds:uri="http://purl.org/dc/terms/"/>
    <ds:schemaRef ds:uri="http://schemas.microsoft.com/office/2006/metadata/properties"/>
    <ds:schemaRef ds:uri="a92bd8f1-c682-480b-a293-fac44964c998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1FE72451-0000-473C-9BEF-3C3A5A240AB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92bd8f1-c682-480b-a293-fac44964c9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A117057-420B-492F-A8C5-0D45FC583F79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c7ef1c8b-ba63-4702-8e74-5094387a97de}" enabled="0" method="" siteId="{c7ef1c8b-ba63-4702-8e74-5094387a97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cost vs emissions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Matthias Fripp</dc:creator>
  <cp:lastModifiedBy>Matthias Fripp</cp:lastModifiedBy>
  <dcterms:created xsi:type="dcterms:W3CDTF">2026-01-07T00:30:54Z</dcterms:created>
  <dcterms:modified xsi:type="dcterms:W3CDTF">2026-06-25T05:02:38Z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0x0101003E2EF3AF50F2594E8CFB88B65572827E</vt:lpwstr>
  </property>
</Properties>
</file>