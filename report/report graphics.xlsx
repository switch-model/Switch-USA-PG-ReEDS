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asfripp/Library/CloudStorage/OneDrive-EnergyInnovation/Analysis/Electricity-Shared/Load-Growth/Switch-USA-PG-ReEDS/report/"/>
    </mc:Choice>
  </mc:AlternateContent>
  <xr:revisionPtr revIDLastSave="0" documentId="13_ncr:1_{2BC7582E-FA36-9842-8777-202A7C880725}" xr6:coauthVersionLast="47" xr6:coauthVersionMax="47" xr10:uidLastSave="{00000000-0000-0000-0000-000000000000}"/>
  <bookViews>
    <workbookView xWindow="10720" yWindow="760" windowWidth="23840" windowHeight="19020" xr2:uid="{0CE84403-AE67-2A46-BE33-D3BA22AD9432}"/>
  </bookViews>
  <sheets>
    <sheet name="Capacity &amp; Generation" sheetId="1" r:id="rId1"/>
    <sheet name="Overall cost comp" sheetId="3" r:id="rId2"/>
    <sheet name="Emissions" sheetId="6" r:id="rId3"/>
    <sheet name="Waterfall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0" i="1" l="1"/>
  <c r="H20" i="1"/>
  <c r="G17" i="1" l="1"/>
  <c r="D17" i="1"/>
  <c r="D20" i="1"/>
  <c r="C20" i="1"/>
  <c r="D40" i="8" a="1"/>
  <c r="D40" i="8" s="1"/>
  <c r="C40" i="8" a="1"/>
  <c r="C40" i="8" s="1"/>
  <c r="B40" i="8" a="1"/>
  <c r="B40" i="8" s="1"/>
  <c r="A40" i="8" a="1"/>
  <c r="A40" i="8" s="1"/>
  <c r="F21" i="8" a="1"/>
  <c r="F21" i="8" s="1"/>
  <c r="D21" i="8" a="1"/>
  <c r="D21" i="8" s="1"/>
  <c r="B21" i="8" a="1"/>
  <c r="B21" i="8" s="1"/>
  <c r="F19" i="8"/>
  <c r="C4" i="6"/>
  <c r="B4" i="6"/>
  <c r="B3" i="1" a="1"/>
  <c r="B3" i="1" s="1"/>
  <c r="G3" i="1" a="1"/>
  <c r="G3" i="1" s="1"/>
  <c r="B17" i="1" l="1"/>
  <c r="F37" i="8"/>
  <c r="D37" i="8"/>
  <c r="B37" i="8"/>
  <c r="I3" i="1" l="1" a="1"/>
  <c r="I3" i="1" s="1"/>
  <c r="I16" i="1" s="1"/>
  <c r="H3" i="1" a="1"/>
  <c r="H3" i="1" s="1"/>
  <c r="H16" i="1" s="1"/>
  <c r="D3" i="1" a="1"/>
  <c r="D3" i="1" s="1"/>
  <c r="C3" i="1" a="1"/>
  <c r="C3" i="1" s="1"/>
  <c r="E3" i="3"/>
  <c r="C60" i="8"/>
  <c r="D19" i="8"/>
  <c r="B19" i="8"/>
  <c r="F60" i="8"/>
  <c r="C5" i="6"/>
  <c r="B5" i="6"/>
  <c r="D4" i="3"/>
  <c r="D3" i="3"/>
  <c r="C8" i="3" s="1"/>
  <c r="D2" i="3"/>
  <c r="E61" i="8" l="1"/>
  <c r="C61" i="8"/>
  <c r="D66" i="8" s="1"/>
  <c r="E60" i="8"/>
  <c r="G67" i="8" s="1"/>
  <c r="D60" i="8"/>
  <c r="F61" i="8"/>
  <c r="E67" i="8" s="1"/>
  <c r="I17" i="1"/>
  <c r="H17" i="1"/>
  <c r="G16" i="1"/>
  <c r="B20" i="1"/>
  <c r="C17" i="1"/>
  <c r="B60" i="8"/>
  <c r="C12" i="3"/>
  <c r="B8" i="3"/>
  <c r="B12" i="3"/>
  <c r="B56" i="8" l="1"/>
  <c r="C64" i="8" s="1"/>
  <c r="B61" i="8"/>
  <c r="C66" i="8" s="1"/>
  <c r="D61" i="8"/>
  <c r="C56" i="8"/>
  <c r="J16" i="1"/>
  <c r="B69" i="8" l="1"/>
  <c r="D64" i="8"/>
  <c r="E64" i="8" s="1"/>
  <c r="F64" i="8" s="1"/>
  <c r="G64" i="8" s="1"/>
  <c r="D56" i="8"/>
  <c r="H69" i="8"/>
  <c r="G6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<sst xmlns="http://schemas.openxmlformats.org/spreadsheetml/2006/main" count="234" uniqueCount="94">
  <si>
    <t>Technology</t>
  </si>
  <si>
    <t>2030 High Fossil</t>
  </si>
  <si>
    <t>2030 Clean</t>
  </si>
  <si>
    <t>High Fossil</t>
  </si>
  <si>
    <t>Clean</t>
  </si>
  <si>
    <t>Coal</t>
  </si>
  <si>
    <t>Natural Gas</t>
  </si>
  <si>
    <t>Nuclear</t>
  </si>
  <si>
    <t>Hydro</t>
  </si>
  <si>
    <t>Onshore Wind</t>
  </si>
  <si>
    <t>Offshore Wind</t>
  </si>
  <si>
    <t>Solar</t>
  </si>
  <si>
    <t>Distributed Solar</t>
  </si>
  <si>
    <t>Batteries</t>
  </si>
  <si>
    <t>Other</t>
  </si>
  <si>
    <t>Biomass</t>
  </si>
  <si>
    <t>Geothermal</t>
  </si>
  <si>
    <t>High Renewable</t>
  </si>
  <si>
    <t>Main</t>
  </si>
  <si>
    <t>Peak Fuel</t>
  </si>
  <si>
    <t>Low demand</t>
  </si>
  <si>
    <t>Base Case</t>
  </si>
  <si>
    <t>High Fuel Costs</t>
  </si>
  <si>
    <t>Savings</t>
  </si>
  <si>
    <t>Lower Demand</t>
  </si>
  <si>
    <t>component</t>
  </si>
  <si>
    <t>npv_cost</t>
  </si>
  <si>
    <t>TotalGenCapitalCosts</t>
  </si>
  <si>
    <t>TotalGenFixedOMCosts</t>
  </si>
  <si>
    <t>StorageEnergyFixedCost</t>
  </si>
  <si>
    <t>TxFixedCosts</t>
  </si>
  <si>
    <t>LocalTDFixedCosts</t>
  </si>
  <si>
    <t>EmissionsCost</t>
  </si>
  <si>
    <t>Gen_Fixed_OM_by_Period</t>
  </si>
  <si>
    <t>GenVariableOMCostsInTP</t>
  </si>
  <si>
    <t>Total_StartupGenCapacity_OM_Costs</t>
  </si>
  <si>
    <t>NodeSpillageCosts</t>
  </si>
  <si>
    <t>FuelCostsPerTP</t>
  </si>
  <si>
    <t>Gen_Variable_OM_by_Period</t>
  </si>
  <si>
    <t>Generation</t>
  </si>
  <si>
    <t>Variable O&amp;M</t>
  </si>
  <si>
    <t>Fuel Cost</t>
  </si>
  <si>
    <t>Fixed O&amp;M</t>
  </si>
  <si>
    <t>High Fossil main</t>
  </si>
  <si>
    <t>High Renewable main</t>
  </si>
  <si>
    <t xml:space="preserve">Generation Cap Ex </t>
  </si>
  <si>
    <t>Emissions</t>
  </si>
  <si>
    <t>2025 Estimated</t>
  </si>
  <si>
    <t>GenITC</t>
  </si>
  <si>
    <t>DRAnnualCost</t>
  </si>
  <si>
    <t>EEAnnualCost</t>
  </si>
  <si>
    <t>Demand -side investment</t>
  </si>
  <si>
    <t>Demand-side</t>
  </si>
  <si>
    <t>Fossil</t>
  </si>
  <si>
    <t>Cost to meet load growth</t>
  </si>
  <si>
    <t>Difference</t>
  </si>
  <si>
    <t>Added costs</t>
  </si>
  <si>
    <t>Reduced costs</t>
  </si>
  <si>
    <t>Energy Efficiency</t>
  </si>
  <si>
    <t xml:space="preserve">Demand Response </t>
  </si>
  <si>
    <t>Demand Response</t>
  </si>
  <si>
    <t>coal and gas capacity</t>
  </si>
  <si>
    <t>2025 capacity (GW)</t>
  </si>
  <si>
    <t>Capacity added (GW)</t>
  </si>
  <si>
    <t>Capacity retired (GW)</t>
  </si>
  <si>
    <t>2030 capacity (GW)</t>
  </si>
  <si>
    <t>Produc­tion (TWh)</t>
  </si>
  <si>
    <t>Gas CCGT</t>
  </si>
  <si>
    <t>Gas CT</t>
  </si>
  <si>
    <t>Gas Peaker</t>
  </si>
  <si>
    <t>Convent. Hydro</t>
  </si>
  <si>
    <t>Large Solar</t>
  </si>
  <si>
    <t>Dist. Solar</t>
  </si>
  <si>
    <t>Pumped Hydro</t>
  </si>
  <si>
    <t>U.S. Imports</t>
  </si>
  <si>
    <t>wind total</t>
  </si>
  <si>
    <t>CAPACITY</t>
  </si>
  <si>
    <t>GENERATION</t>
  </si>
  <si>
    <t>HIGH FOSSIL (pasted)</t>
  </si>
  <si>
    <t>CLEAN (pasted)</t>
  </si>
  <si>
    <t>−14.6</t>
  </si>
  <si>
    <t>−23.3</t>
  </si>
  <si>
    <t>−12.7</t>
  </si>
  <si>
    <t>−17.5</t>
  </si>
  <si>
    <t>2025 data</t>
  </si>
  <si>
    <t>Capacity</t>
  </si>
  <si>
    <t>UnservedLoadPenalty</t>
  </si>
  <si>
    <t>total</t>
  </si>
  <si>
    <t>Graph tag</t>
  </si>
  <si>
    <t>Fossil tag</t>
  </si>
  <si>
    <t>diff</t>
  </si>
  <si>
    <t>high fossil</t>
  </si>
  <si>
    <t>clean</t>
  </si>
  <si>
    <t>percent fossil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</si>
</sst>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0"/>
      <color rgb="FF000000"/>
      <name val="Montserrat"/>
    </font>
    <font>
      <sz val="10"/>
      <color theme="1"/>
      <name val="Montserrat"/>
    </font>
    <font>
      <b/>
      <sz val="12"/>
      <color theme="1"/>
      <name val="Aptos Narrow"/>
      <scheme val="minor"/>
    </font>
    <font>
      <sz val="12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4" fontId="5" fillId="0" borderId="4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6" fillId="0" borderId="0" xfId="0" applyFont="1"/>
    <xf numFmtId="0" fontId="7" fillId="0" borderId="0" xfId="0" applyFont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1" fontId="0" fillId="0" borderId="0" xfId="0" applyNumberFormat="1"/>
    <xf numFmtId="3" fontId="7" fillId="0" borderId="0" xfId="0" applyNumberFormat="1" applyFon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595959"/>
      <color rgb="FF898989"/>
      <color rgb="FF942093"/>
      <color rgb="FF54555A"/>
      <color rgb="FF61A60E"/>
      <color rgb="FF316094"/>
      <color rgb="FFBD4600"/>
      <color rgb="FFAC4100"/>
      <color rgb="FF0F9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r>
              <a:rPr lang="en-US" b="1"/>
              <a:t>Annual Generation (TWh)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'Capacity &amp; Generation'!$F$3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'Capacity &amp; Generation'!$G$2:$I$2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Generation'!$G$3:$I$3</c:f>
              <c:numCache>
                <c:formatCode>#,##0</c:formatCode>
                <c:ptCount val="3"/>
                <c:pt idx="0">
                  <c:v>737.15071106999994</c:v>
                </c:pt>
                <c:pt idx="1">
                  <c:v>1061.5999999999999</c:v>
                </c:pt>
                <c:pt idx="2">
                  <c:v>545.70000000000005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3-EF4E-8765-F81B89891D9C}"/>
            </c:ext>
          </c:extLst>
        </c:ser>
        <c:ser>
          <c:idx val="1"/>
          <c:order val="1"/>
          <c:tx>
            <c:strRef>
              <c:f>'Capacity &amp; Generation'!$F$4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'Capacity &amp; Generation'!$G$2:$I$2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Generation'!$G$4:$I$4</c:f>
              <c:numCache>
                <c:formatCode>#,##0</c:formatCode>
                <c:ptCount val="3"/>
                <c:pt idx="0">
                  <c:v>1807.33828797</c:v>
                </c:pt>
                <c:pt idx="1">
                  <c:v>1887.5</c:v>
                </c:pt>
                <c:pt idx="2">
                  <c:v>1453.8000000000002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3-EF4E-8765-F81B89891D9C}"/>
            </c:ext>
          </c:extLst>
        </c:ser>
        <c:ser>
          <c:idx val="2"/>
          <c:order val="2"/>
          <c:tx>
            <c:strRef>
              <c:f>'Capacity &amp; Generation'!$F$5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'Capacity &amp; Generation'!$G$2:$I$2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Generation'!$G$5:$I$5</c:f>
              <c:numCache>
                <c:formatCode>#,##0</c:formatCode>
                <c:ptCount val="3"/>
                <c:pt idx="0">
                  <c:v>784.78071799999998</c:v>
                </c:pt>
                <c:pt idx="1">
                  <c:v>805.7</c:v>
                </c:pt>
                <c:pt idx="2">
                  <c:v>805.7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3-EF4E-8765-F81B89891D9C}"/>
            </c:ext>
          </c:extLst>
        </c:ser>
        <c:ser>
          <c:idx val="3"/>
          <c:order val="3"/>
          <c:tx>
            <c:strRef>
              <c:f>'Capacity &amp; Generation'!$F$6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'Capacity &amp; Generation'!$G$2:$I$2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Generation'!$G$6:$I$6</c:f>
              <c:numCache>
                <c:formatCode>#,##0</c:formatCode>
                <c:ptCount val="3"/>
                <c:pt idx="0">
                  <c:v>247.02320954999999</c:v>
                </c:pt>
                <c:pt idx="1">
                  <c:v>249.7</c:v>
                </c:pt>
                <c:pt idx="2">
                  <c:v>249.6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D3-EF4E-8765-F81B89891D9C}"/>
            </c:ext>
          </c:extLst>
        </c:ser>
        <c:ser>
          <c:idx val="4"/>
          <c:order val="4"/>
          <c:tx>
            <c:strRef>
              <c:f>'Capacity &amp; Generation'!$F$7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'Capacity &amp; Generation'!$G$2:$I$2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Generation'!$G$7:$I$7</c:f>
              <c:numCache>
                <c:formatCode>#,##0</c:formatCode>
                <c:ptCount val="3"/>
                <c:pt idx="0">
                  <c:v>464.39060973000005</c:v>
                </c:pt>
                <c:pt idx="1">
                  <c:v>587.1</c:v>
                </c:pt>
                <c:pt idx="2">
                  <c:v>742.9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D3-EF4E-8765-F81B89891D9C}"/>
            </c:ext>
          </c:extLst>
        </c:ser>
        <c:ser>
          <c:idx val="5"/>
          <c:order val="5"/>
          <c:tx>
            <c:strRef>
              <c:f>'Capacity &amp; Generation'!$F$8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'Capacity &amp; Generation'!$G$2:$I$2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Generation'!$G$8:$I$8</c:f>
              <c:numCache>
                <c:formatCode>#,##0</c:formatCode>
                <c:ptCount val="3"/>
                <c:pt idx="0">
                  <c:v>0</c:v>
                </c:pt>
                <c:pt idx="1">
                  <c:v>43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D3-EF4E-8765-F81B89891D9C}"/>
            </c:ext>
          </c:extLst>
        </c:ser>
        <c:ser>
          <c:idx val="6"/>
          <c:order val="6"/>
          <c:tx>
            <c:strRef>
              <c:f>'Capacity &amp; Generation'!$F$9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'Capacity &amp; Generation'!$G$2:$I$2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Generation'!$G$9:$I$9</c:f>
              <c:numCache>
                <c:formatCode>#,##0</c:formatCode>
                <c:ptCount val="3"/>
                <c:pt idx="0">
                  <c:v>295.67138247999998</c:v>
                </c:pt>
                <c:pt idx="1">
                  <c:v>469.3</c:v>
                </c:pt>
                <c:pt idx="2">
                  <c:v>1076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D3-EF4E-8765-F81B89891D9C}"/>
            </c:ext>
          </c:extLst>
        </c:ser>
        <c:ser>
          <c:idx val="7"/>
          <c:order val="7"/>
          <c:tx>
            <c:strRef>
              <c:f>'Capacity &amp; Generation'!$F$10</c:f>
              <c:strCache>
                <c:ptCount val="1"/>
                <c:pt idx="0">
                  <c:v>Distributed Solar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'Capacity &amp; Generation'!$G$2:$I$2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Generation'!$G$10:$I$10</c:f>
              <c:numCache>
                <c:formatCode>#,##0</c:formatCode>
                <c:ptCount val="3"/>
                <c:pt idx="0">
                  <c:v>93.148477139999997</c:v>
                </c:pt>
                <c:pt idx="1">
                  <c:v>99.6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D3-EF4E-8765-F81B89891D9C}"/>
            </c:ext>
          </c:extLst>
        </c:ser>
        <c:ser>
          <c:idx val="8"/>
          <c:order val="8"/>
          <c:tx>
            <c:strRef>
              <c:f>'Capacity &amp; Generation'!$F$11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'Capacity &amp; Generation'!$G$2:$I$2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Generation'!$G$11:$I$11</c:f>
              <c:numCache>
                <c:formatCode>#,##0</c:formatCode>
                <c:ptCount val="3"/>
                <c:pt idx="0">
                  <c:v>36.611411349999997</c:v>
                </c:pt>
                <c:pt idx="1">
                  <c:v>82.6</c:v>
                </c:pt>
                <c:pt idx="2">
                  <c:v>82.3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D3-EF4E-8765-F81B89891D9C}"/>
            </c:ext>
          </c:extLst>
        </c:ser>
        <c:ser>
          <c:idx val="9"/>
          <c:order val="9"/>
          <c:tx>
            <c:strRef>
              <c:f>'Capacity &amp; Generation'!$F$12</c:f>
              <c:strCache>
                <c:ptCount val="1"/>
                <c:pt idx="0">
                  <c:v>Energy Efficiency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'Capacity &amp; Generation'!$G$2:$I$2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Generation'!$G$12:$I$12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D3-EF4E-8765-F81B8989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13056895"/>
        <c:axId val="1412825583"/>
      </c:barChart>
      <c:catAx>
        <c:axId val="141305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1412825583"/>
        <c:crosses val="autoZero"/>
        <c:auto val="1"/>
        <c:lblAlgn val="ctr"/>
        <c:lblOffset val="100"/>
        <c:noMultiLvlLbl val="0"/>
      </c:catAx>
      <c:valAx>
        <c:axId val="141282558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141305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Montserrat" pitchFamily="2" charset="77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r>
              <a:rPr lang="en-US" b="1"/>
              <a:t>Installed Capacity (GW)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69493251256891"/>
          <c:y val="0.11975308641975309"/>
          <c:w val="0.48534895675132594"/>
          <c:h val="0.756759259259259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'Capacity &amp; Generation'!$A$3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Generation'!$B$3:$D$3</c:f>
              <c:numCache>
                <c:formatCode>0</c:formatCode>
                <c:ptCount val="3"/>
                <c:pt idx="0">
                  <c:v>171</c:v>
                </c:pt>
                <c:pt idx="1">
                  <c:v>171.6</c:v>
                </c:pt>
                <c:pt idx="2">
                  <c:v>84.3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1-B34A-B264-6BCEADB3AF5F}"/>
            </c:ext>
          </c:extLst>
        </c:ser>
        <c:ser>
          <c:idx val="1"/>
          <c:order val="1"/>
          <c:tx>
            <c:strRef>
              <c:f>'Capacity &amp; Generation'!$A$4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Generation'!$B$4:$D$4</c:f>
              <c:numCache>
                <c:formatCode>0</c:formatCode>
                <c:ptCount val="3"/>
                <c:pt idx="0">
                  <c:v>548</c:v>
                </c:pt>
                <c:pt idx="1">
                  <c:v>573.1</c:v>
                </c:pt>
                <c:pt idx="2">
                  <c:v>427.09999999999997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1-B34A-B264-6BCEADB3AF5F}"/>
            </c:ext>
          </c:extLst>
        </c:ser>
        <c:ser>
          <c:idx val="2"/>
          <c:order val="2"/>
          <c:tx>
            <c:strRef>
              <c:f>'Capacity &amp; Generation'!$A$5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Generation'!$B$5:$D$5</c:f>
              <c:numCache>
                <c:formatCode>0</c:formatCode>
                <c:ptCount val="3"/>
                <c:pt idx="0">
                  <c:v>100</c:v>
                </c:pt>
                <c:pt idx="1">
                  <c:v>99.9</c:v>
                </c:pt>
                <c:pt idx="2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1-B34A-B264-6BCEADB3AF5F}"/>
            </c:ext>
          </c:extLst>
        </c:ser>
        <c:ser>
          <c:idx val="3"/>
          <c:order val="3"/>
          <c:tx>
            <c:strRef>
              <c:f>'Capacity &amp; Generation'!$A$6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Generation'!$B$6:$D$6</c:f>
              <c:numCache>
                <c:formatCode>0</c:formatCode>
                <c:ptCount val="3"/>
                <c:pt idx="0">
                  <c:v>79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71-B34A-B264-6BCEADB3AF5F}"/>
            </c:ext>
          </c:extLst>
        </c:ser>
        <c:ser>
          <c:idx val="4"/>
          <c:order val="4"/>
          <c:tx>
            <c:strRef>
              <c:f>'Capacity &amp; Generation'!$A$7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Generation'!$B$7:$D$7</c:f>
              <c:numCache>
                <c:formatCode>0</c:formatCode>
                <c:ptCount val="3"/>
                <c:pt idx="0">
                  <c:v>158</c:v>
                </c:pt>
                <c:pt idx="1">
                  <c:v>183</c:v>
                </c:pt>
                <c:pt idx="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71-B34A-B264-6BCEADB3AF5F}"/>
            </c:ext>
          </c:extLst>
        </c:ser>
        <c:ser>
          <c:idx val="5"/>
          <c:order val="5"/>
          <c:tx>
            <c:strRef>
              <c:f>'Capacity &amp; Generation'!$A$8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Generation'!$B$8:$D$8</c:f>
              <c:numCache>
                <c:formatCode>0</c:formatCode>
                <c:ptCount val="3"/>
                <c:pt idx="0">
                  <c:v>0.1</c:v>
                </c:pt>
                <c:pt idx="1">
                  <c:v>9.8000000000000007</c:v>
                </c:pt>
                <c:pt idx="2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71-B34A-B264-6BCEADB3AF5F}"/>
            </c:ext>
          </c:extLst>
        </c:ser>
        <c:ser>
          <c:idx val="6"/>
          <c:order val="6"/>
          <c:tx>
            <c:strRef>
              <c:f>'Capacity &amp; Generation'!$A$9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Generation'!$B$9:$D$9</c:f>
              <c:numCache>
                <c:formatCode>0</c:formatCode>
                <c:ptCount val="3"/>
                <c:pt idx="0">
                  <c:v>148</c:v>
                </c:pt>
                <c:pt idx="1">
                  <c:v>228.3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71-B34A-B264-6BCEADB3AF5F}"/>
            </c:ext>
          </c:extLst>
        </c:ser>
        <c:ser>
          <c:idx val="7"/>
          <c:order val="7"/>
          <c:tx>
            <c:strRef>
              <c:f>'Capacity &amp; Generation'!$A$10</c:f>
              <c:strCache>
                <c:ptCount val="1"/>
                <c:pt idx="0">
                  <c:v>Distributed Solar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Generation'!$B$10:$D$10</c:f>
              <c:numCache>
                <c:formatCode>0</c:formatCode>
                <c:ptCount val="3"/>
                <c:pt idx="0">
                  <c:v>59.505547</c:v>
                </c:pt>
                <c:pt idx="1">
                  <c:v>54.8</c:v>
                </c:pt>
                <c:pt idx="2">
                  <c:v>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71-B34A-B264-6BCEADB3AF5F}"/>
            </c:ext>
          </c:extLst>
        </c:ser>
        <c:ser>
          <c:idx val="8"/>
          <c:order val="8"/>
          <c:tx>
            <c:strRef>
              <c:f>'Capacity &amp; Generation'!$A$11</c:f>
              <c:strCache>
                <c:ptCount val="1"/>
                <c:pt idx="0">
                  <c:v>Batteries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Generation'!$B$11:$D$11</c:f>
              <c:numCache>
                <c:formatCode>0</c:formatCode>
                <c:ptCount val="3"/>
                <c:pt idx="0">
                  <c:v>42</c:v>
                </c:pt>
                <c:pt idx="1">
                  <c:v>91</c:v>
                </c:pt>
                <c:pt idx="2">
                  <c:v>113.5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71-B34A-B264-6BCEADB3AF5F}"/>
            </c:ext>
          </c:extLst>
        </c:ser>
        <c:ser>
          <c:idx val="9"/>
          <c:order val="9"/>
          <c:tx>
            <c:strRef>
              <c:f>'Capacity &amp; Generation'!$A$12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Generation'!$B$12:$D$12</c:f>
              <c:numCache>
                <c:formatCode>0</c:formatCode>
                <c:ptCount val="3"/>
                <c:pt idx="0">
                  <c:v>62</c:v>
                </c:pt>
                <c:pt idx="1">
                  <c:v>32.200000000000003</c:v>
                </c:pt>
                <c:pt idx="2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71-B34A-B264-6BCEADB3AF5F}"/>
            </c:ext>
          </c:extLst>
        </c:ser>
        <c:ser>
          <c:idx val="10"/>
          <c:order val="10"/>
          <c:tx>
            <c:strRef>
              <c:f>'Capacity &amp; Generation'!$A$13</c:f>
              <c:strCache>
                <c:ptCount val="1"/>
                <c:pt idx="0">
                  <c:v>Demand Response 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Generation'!$B$13:$D$13</c:f>
              <c:numCache>
                <c:formatCode>0</c:formatCode>
                <c:ptCount val="3"/>
                <c:pt idx="0">
                  <c:v>#N/A</c:v>
                </c:pt>
                <c:pt idx="1">
                  <c:v>0</c:v>
                </c:pt>
                <c:pt idx="2">
                  <c:v>26.3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71-B34A-B264-6BCEADB3AF5F}"/>
            </c:ext>
          </c:extLst>
        </c:ser>
        <c:ser>
          <c:idx val="11"/>
          <c:order val="11"/>
          <c:tx>
            <c:strRef>
              <c:f>'Capacity &amp; Generation'!$A$14</c:f>
              <c:strCache>
                <c:ptCount val="1"/>
                <c:pt idx="0">
                  <c:v>Energy Efficiency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'Capacity &amp; Generation'!$B$2:$D$2</c:f>
              <c:strCache>
                <c:ptCount val="3"/>
                <c:pt idx="0">
                  <c:v>2025</c:v>
                </c:pt>
                <c:pt idx="1">
                  <c:v>2030 High Fossil</c:v>
                </c:pt>
                <c:pt idx="2">
                  <c:v>2030 Clean</c:v>
                </c:pt>
              </c:strCache>
            </c:strRef>
          </c:cat>
          <c:val>
            <c:numRef>
              <c:f>'Capacity &amp; Generation'!$B$14:$D$14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471-B34A-B264-6BCEADB3A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84398864"/>
        <c:axId val="1634832175"/>
      </c:barChart>
      <c:catAx>
        <c:axId val="4843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1634832175"/>
        <c:crosses val="autoZero"/>
        <c:auto val="1"/>
        <c:lblAlgn val="ctr"/>
        <c:lblOffset val="100"/>
        <c:noMultiLvlLbl val="0"/>
      </c:catAx>
      <c:valAx>
        <c:axId val="163483217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48439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07327274001726"/>
          <c:y val="0.18637673763001847"/>
          <c:w val="0.31018785485642186"/>
          <c:h val="0.6769223291533003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Montserrat" pitchFamily="2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r>
              <a:rPr lang="en-US"/>
              <a:t>Savings between high fossil and clean pathway under high fuel cost sensitivity ($B)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689385138333113E-2"/>
          <c:y val="0.27628727365757982"/>
          <c:w val="0.85613607333990849"/>
          <c:h val="0.472707296966940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'Overall cost comp'!$A$8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7186859122817018E-17"/>
                  <c:y val="-0.136205688574642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F4-034B-89F9-B3B4E4B457BB}"/>
                </c:ext>
              </c:extLst>
            </c:dLbl>
            <c:dLbl>
              <c:idx val="1"/>
              <c:layout>
                <c:manualLayout>
                  <c:x val="0"/>
                  <c:y val="-0.273696287964004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F4-034B-89F9-B3B4E4B457B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'Overall cost comp'!$B$7:$C$7</c:f>
              <c:strCache>
                <c:ptCount val="2"/>
                <c:pt idx="0">
                  <c:v>Base Case</c:v>
                </c:pt>
                <c:pt idx="1">
                  <c:v>High Fuel Costs</c:v>
                </c:pt>
              </c:strCache>
            </c:strRef>
          </c:cat>
          <c:val>
            <c:numRef>
              <c:f>'Overall cost comp'!$B$8:$C$8</c:f>
              <c:numCache>
                <c:formatCode>General</c:formatCode>
                <c:ptCount val="2"/>
                <c:pt idx="0">
                  <c:v>5.0595399552729816</c:v>
                </c:pt>
                <c:pt idx="1">
                  <c:v>13.477816151303983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4-034B-89F9-B3B4E4B45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3858943"/>
        <c:axId val="1643860655"/>
      </c:barChart>
      <c:catAx>
        <c:axId val="164385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1643860655"/>
        <c:crosses val="autoZero"/>
        <c:auto val="1"/>
        <c:lblAlgn val="ctr"/>
        <c:lblOffset val="100"/>
        <c:noMultiLvlLbl val="0"/>
      </c:catAx>
      <c:valAx>
        <c:axId val="1643860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38589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Montserrat" pitchFamily="2" charset="77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r>
              <a:rPr lang="en-US"/>
              <a:t>Savings between high fossil and clean pathway under lower demand sensitivity ($B)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226487523992322E-2"/>
          <c:y val="0.24740956293506791"/>
          <c:w val="0.91554702495201534"/>
          <c:h val="0.52067014720985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cost comp'!$A$12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0925337632079971E-17"/>
                  <c:y val="-6.9262175561388156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B6-FF41-B08C-73111FA10E14}"/>
                </c:ext>
              </c:extLst>
            </c:dLbl>
            <c:dLbl>
              <c:idx val="1"/>
              <c:layout>
                <c:manualLayout>
                  <c:x val="0"/>
                  <c:y val="-6.9262175561388156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B6-FF41-B08C-73111FA10E1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'Overall cost comp'!$B$11:$C$11</c:f>
              <c:strCache>
                <c:ptCount val="2"/>
                <c:pt idx="0">
                  <c:v>Base Case</c:v>
                </c:pt>
                <c:pt idx="1">
                  <c:v>Lower Demand</c:v>
                </c:pt>
              </c:strCache>
            </c:strRef>
          </c:cat>
          <c:val>
            <c:numRef>
              <c:f>'Overall cost comp'!$B$12:$C$12</c:f>
              <c:numCache>
                <c:formatCode>General</c:formatCode>
                <c:ptCount val="2"/>
                <c:pt idx="0">
                  <c:v>5.0595399552729816</c:v>
                </c:pt>
                <c:pt idx="1">
                  <c:v>2.6269452715440025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6-FF41-B08C-73111FA10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396864"/>
        <c:axId val="307809888"/>
      </c:barChart>
      <c:catAx>
        <c:axId val="198739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307809888"/>
        <c:crosses val="autoZero"/>
        <c:auto val="1"/>
        <c:lblAlgn val="ctr"/>
        <c:lblOffset val="100"/>
        <c:noMultiLvlLbl val="0"/>
      </c:catAx>
      <c:valAx>
        <c:axId val="307809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739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Montserrat" pitchFamily="2" charset="77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r>
              <a:rPr lang="en-US"/>
              <a:t>Annual Emissions by Scenario </a:t>
            </a:r>
          </a:p>
          <a:p>
            <a:pPr>
              <a:defRPr/>
            </a:pPr>
            <a:r>
              <a:rPr lang="en-US"/>
              <a:t>(Million Metric Tons CO2 Per Year)</a:t>
            </a:r>
          </a:p>
        </c:rich>
      </c:tx>
      <c:layout>
        <c:manualLayout>
          <c:xMode val="edge"/>
          <c:yMode val="edge"/>
          <c:x val="0.1994389763779528"/>
          <c:y val="1.2158054711246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66333535231173"/>
          <c:y val="0.15557341361741547"/>
          <c:w val="0.79508025439127805"/>
          <c:h val="0.636137902974894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Emissions!$A$3:$C$3</c:f>
              <c:strCache>
                <c:ptCount val="3"/>
                <c:pt idx="0">
                  <c:v>2025 Estimated</c:v>
                </c:pt>
                <c:pt idx="1">
                  <c:v>High Fossil</c:v>
                </c:pt>
                <c:pt idx="2">
                  <c:v>Clean</c:v>
                </c:pt>
              </c:strCache>
            </c:strRef>
          </c:cat>
          <c:val>
            <c:numRef>
              <c:f>Emissions!$A$4:$C$4</c:f>
              <c:numCache>
                <c:formatCode>_(* #,##0_);_(* \(#,##0\);_(* "-"??_);_(@_)</c:formatCode>
                <c:ptCount val="3"/>
                <c:pt idx="0">
                  <c:v>1514</c:v>
                </c:pt>
                <c:pt idx="1">
                  <c:v>1842.8479331086701</c:v>
                </c:pt>
                <c:pt idx="2">
                  <c:v>1130.69976554854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6-8140-9382-95B62815F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03962880"/>
        <c:axId val="1105709248"/>
      </c:barChart>
      <c:catAx>
        <c:axId val="110396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1105709248"/>
        <c:crosses val="autoZero"/>
        <c:auto val="1"/>
        <c:lblAlgn val="ctr"/>
        <c:lblOffset val="100"/>
        <c:noMultiLvlLbl val="0"/>
      </c:catAx>
      <c:valAx>
        <c:axId val="110570924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77"/>
                <a:ea typeface="+mn-ea"/>
                <a:cs typeface="+mn-cs"/>
              </a:defRPr>
            </a:pPr>
            <a:endParaRPr lang="en-US"/>
          </a:p>
        </c:txPr>
        <c:crossAx val="110396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Montserrat" pitchFamily="2" charset="77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999939961605036E-2"/>
          <c:y val="9.4123815969398797E-2"/>
          <c:w val="0.88441885218760996"/>
          <c:h val="0.737506741540025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Waterfall!$A$64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Waterfall!$B$63:$H$63</c:f>
              <c:strCache>
                <c:ptCount val="7"/>
                <c:pt idx="0">
                  <c:v>High Fossil</c:v>
                </c:pt>
                <c:pt idx="1">
                  <c:v>Generation Cap Ex </c:v>
                </c:pt>
                <c:pt idx="2">
                  <c:v>Demand-side</c:v>
                </c:pt>
                <c:pt idx="3">
                  <c:v>Fixed O&amp;M</c:v>
                </c:pt>
                <c:pt idx="4">
                  <c:v>Variable O&amp;M</c:v>
                </c:pt>
                <c:pt idx="5">
                  <c:v>Fuel Cost</c:v>
                </c:pt>
                <c:pt idx="6">
                  <c:v>Clean</c:v>
                </c:pt>
              </c:strCache>
            </c:strRef>
          </c:cat>
          <c:val>
            <c:numRef>
              <c:f>Waterfall!$B$64:$H$64</c:f>
              <c:numCache>
                <c:formatCode>0.0</c:formatCode>
                <c:ptCount val="7"/>
                <c:pt idx="1">
                  <c:v>29.705232808597323</c:v>
                </c:pt>
                <c:pt idx="2">
                  <c:v>55.447775839302317</c:v>
                </c:pt>
                <c:pt idx="3">
                  <c:v>58.93882415797767</c:v>
                </c:pt>
                <c:pt idx="4">
                  <c:v>56.338824157977669</c:v>
                </c:pt>
                <c:pt idx="5">
                  <c:v>25.11460972688387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4-564D-838F-2980B52A6BDE}"/>
            </c:ext>
          </c:extLst>
        </c:ser>
        <c:ser>
          <c:idx val="1"/>
          <c:order val="1"/>
          <c:tx>
            <c:strRef>
              <c:f>Waterfall!$A$65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Waterfall!$B$63:$H$63</c:f>
              <c:strCache>
                <c:ptCount val="7"/>
                <c:pt idx="0">
                  <c:v>High Fossil</c:v>
                </c:pt>
                <c:pt idx="1">
                  <c:v>Generation Cap Ex </c:v>
                </c:pt>
                <c:pt idx="2">
                  <c:v>Demand-side</c:v>
                </c:pt>
                <c:pt idx="3">
                  <c:v>Fixed O&amp;M</c:v>
                </c:pt>
                <c:pt idx="4">
                  <c:v>Variable O&amp;M</c:v>
                </c:pt>
                <c:pt idx="5">
                  <c:v>Fuel Cost</c:v>
                </c:pt>
                <c:pt idx="6">
                  <c:v>Clean</c:v>
                </c:pt>
              </c:strCache>
            </c:strRef>
          </c:cat>
          <c:val>
            <c:numRef>
              <c:f>Waterfall!$B$65:$H$65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E284-564D-838F-2980B52A6BDE}"/>
            </c:ext>
          </c:extLst>
        </c:ser>
        <c:ser>
          <c:idx val="2"/>
          <c:order val="2"/>
          <c:tx>
            <c:strRef>
              <c:f>Waterfall!$A$66</c:f>
              <c:strCache>
                <c:ptCount val="1"/>
                <c:pt idx="0">
                  <c:v>Added costs</c:v>
                </c:pt>
              </c:strCache>
            </c:strRef>
          </c:tx>
          <c:spPr>
            <a:solidFill>
              <a:srgbClr val="BD46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8298022311233055E-17"/>
                  <c:y val="-0.1542131704034460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84-564D-838F-2980B52A6BDE}"/>
                </c:ext>
              </c:extLst>
            </c:dLbl>
            <c:dLbl>
              <c:idx val="2"/>
              <c:layout>
                <c:manualLayout>
                  <c:x val="-7.6596044622466109E-17"/>
                  <c:y val="-5.985465872969634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84-564D-838F-2980B52A6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Waterfall!$B$63:$H$63</c:f>
              <c:strCache>
                <c:ptCount val="7"/>
                <c:pt idx="0">
                  <c:v>High Fossil</c:v>
                </c:pt>
                <c:pt idx="1">
                  <c:v>Generation Cap Ex </c:v>
                </c:pt>
                <c:pt idx="2">
                  <c:v>Demand-side</c:v>
                </c:pt>
                <c:pt idx="3">
                  <c:v>Fixed O&amp;M</c:v>
                </c:pt>
                <c:pt idx="4">
                  <c:v>Variable O&amp;M</c:v>
                </c:pt>
                <c:pt idx="5">
                  <c:v>Fuel Cost</c:v>
                </c:pt>
                <c:pt idx="6">
                  <c:v>Clean</c:v>
                </c:pt>
              </c:strCache>
            </c:strRef>
          </c:cat>
          <c:val>
            <c:numRef>
              <c:f>Waterfall!$B$66:$H$66</c:f>
              <c:numCache>
                <c:formatCode>0.0</c:formatCode>
                <c:ptCount val="7"/>
                <c:pt idx="1">
                  <c:v>25.742543030704994</c:v>
                </c:pt>
                <c:pt idx="2">
                  <c:v>6.696649249201954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4-564D-838F-2980B52A6BDE}"/>
            </c:ext>
          </c:extLst>
        </c:ser>
        <c:ser>
          <c:idx val="3"/>
          <c:order val="3"/>
          <c:tx>
            <c:strRef>
              <c:f>Waterfall!$A$67</c:f>
              <c:strCache>
                <c:ptCount val="1"/>
                <c:pt idx="0">
                  <c:v>Reduced costs</c:v>
                </c:pt>
              </c:strCache>
            </c:strRef>
          </c:tx>
          <c:spPr>
            <a:solidFill>
              <a:srgbClr val="316094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2.0890071672684486E-3"/>
                  <c:y val="3.79524476630853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</a:t>
                    </a:r>
                    <a:fld id="{029CE678-226D-CA42-ACDC-405D7CBF1D1D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E284-564D-838F-2980B52A6BDE}"/>
                </c:ext>
              </c:extLst>
            </c:dLbl>
            <c:dLbl>
              <c:idx val="4"/>
              <c:layout>
                <c:manualLayout>
                  <c:x val="-2.0890071672685253E-3"/>
                  <c:y val="3.26940355667064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</a:t>
                    </a:r>
                    <a:fld id="{34B45A16-D5E5-C046-9DB8-0E2206106D3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E284-564D-838F-2980B52A6BDE}"/>
                </c:ext>
              </c:extLst>
            </c:dLbl>
            <c:dLbl>
              <c:idx val="5"/>
              <c:layout>
                <c:manualLayout>
                  <c:x val="1.9404570181117782E-3"/>
                  <c:y val="0.1925089205911493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</a:t>
                    </a:r>
                    <a:fld id="{2A49654E-22F8-3E41-B1B6-796E4D2E319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86789298807886E-2"/>
                      <c:h val="6.927088299162362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E284-564D-838F-2980B52A6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Waterfall!$B$63:$H$63</c:f>
              <c:strCache>
                <c:ptCount val="7"/>
                <c:pt idx="0">
                  <c:v>High Fossil</c:v>
                </c:pt>
                <c:pt idx="1">
                  <c:v>Generation Cap Ex </c:v>
                </c:pt>
                <c:pt idx="2">
                  <c:v>Demand-side</c:v>
                </c:pt>
                <c:pt idx="3">
                  <c:v>Fixed O&amp;M</c:v>
                </c:pt>
                <c:pt idx="4">
                  <c:v>Variable O&amp;M</c:v>
                </c:pt>
                <c:pt idx="5">
                  <c:v>Fuel Cost</c:v>
                </c:pt>
                <c:pt idx="6">
                  <c:v>Clean</c:v>
                </c:pt>
              </c:strCache>
            </c:strRef>
          </c:cat>
          <c:val>
            <c:numRef>
              <c:f>Waterfall!$B$67:$H$67</c:f>
              <c:numCache>
                <c:formatCode>0.0</c:formatCode>
                <c:ptCount val="7"/>
                <c:pt idx="3">
                  <c:v>3.2056009305266002</c:v>
                </c:pt>
                <c:pt idx="4">
                  <c:v>2.6</c:v>
                </c:pt>
                <c:pt idx="5">
                  <c:v>31.224214431093799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4-564D-838F-2980B52A6BDE}"/>
            </c:ext>
          </c:extLst>
        </c:ser>
        <c:ser>
          <c:idx val="4"/>
          <c:order val="4"/>
          <c:tx>
            <c:strRef>
              <c:f>Waterfall!$A$68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84-564D-838F-2980B52A6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Waterfall!$B$63:$H$63</c:f>
              <c:strCache>
                <c:ptCount val="7"/>
                <c:pt idx="0">
                  <c:v>High Fossil</c:v>
                </c:pt>
                <c:pt idx="1">
                  <c:v>Generation Cap Ex </c:v>
                </c:pt>
                <c:pt idx="2">
                  <c:v>Demand-side</c:v>
                </c:pt>
                <c:pt idx="3">
                  <c:v>Fixed O&amp;M</c:v>
                </c:pt>
                <c:pt idx="4">
                  <c:v>Variable O&amp;M</c:v>
                </c:pt>
                <c:pt idx="5">
                  <c:v>Fuel Cost</c:v>
                </c:pt>
                <c:pt idx="6">
                  <c:v>Clean</c:v>
                </c:pt>
              </c:strCache>
            </c:strRef>
          </c:cat>
          <c:val>
            <c:numRef>
              <c:f>Waterfall!$B$68:$H$68</c:f>
              <c:numCache>
                <c:formatCode>0.0</c:formatCode>
                <c:ptCount val="7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4-564D-838F-2980B52A6BDE}"/>
            </c:ext>
          </c:extLst>
        </c:ser>
        <c:ser>
          <c:idx val="5"/>
          <c:order val="5"/>
          <c:tx>
            <c:strRef>
              <c:f>Waterfall!$A$69</c:f>
              <c:strCache>
                <c:ptCount val="1"/>
                <c:pt idx="0">
                  <c:v>Cost to meet load growth</c:v>
                </c:pt>
              </c:strCache>
            </c:strRef>
          </c:tx>
          <c:spPr>
            <a:solidFill>
              <a:srgbClr val="54555A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2376041204398003E-3"/>
                  <c:y val="-0.185255354086843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331538607771012E-2"/>
                      <c:h val="5.19314879999781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284-564D-838F-2980B52A6BDE}"/>
                </c:ext>
              </c:extLst>
            </c:dLbl>
            <c:dLbl>
              <c:idx val="6"/>
              <c:layout>
                <c:manualLayout>
                  <c:x val="0"/>
                  <c:y val="-0.154471242785580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284-564D-838F-2980B52A6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Waterfall!$B$63:$H$63</c:f>
              <c:strCache>
                <c:ptCount val="7"/>
                <c:pt idx="0">
                  <c:v>High Fossil</c:v>
                </c:pt>
                <c:pt idx="1">
                  <c:v>Generation Cap Ex </c:v>
                </c:pt>
                <c:pt idx="2">
                  <c:v>Demand-side</c:v>
                </c:pt>
                <c:pt idx="3">
                  <c:v>Fixed O&amp;M</c:v>
                </c:pt>
                <c:pt idx="4">
                  <c:v>Variable O&amp;M</c:v>
                </c:pt>
                <c:pt idx="5">
                  <c:v>Fuel Cost</c:v>
                </c:pt>
                <c:pt idx="6">
                  <c:v>Clean</c:v>
                </c:pt>
              </c:strCache>
            </c:strRef>
          </c:cat>
          <c:val>
            <c:numRef>
              <c:f>Waterfall!$B$69:$H$69</c:f>
              <c:numCache>
                <c:formatCode>General</c:formatCode>
                <c:ptCount val="7"/>
                <c:pt idx="0" formatCode="0.0">
                  <c:v>29.705232808597323</c:v>
                </c:pt>
                <c:pt idx="6" formatCode="0.0">
                  <c:v>24.645692853323858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4-564D-838F-2980B52A6B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01315616"/>
        <c:axId val="2001658528"/>
      </c:barChart>
      <c:catAx>
        <c:axId val="200131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77"/>
                <a:ea typeface="+mn-ea"/>
                <a:cs typeface="+mn-cs"/>
              </a:defRPr>
            </a:pPr>
            <a:endParaRPr lang="en-US"/>
          </a:p>
        </c:txPr>
        <c:crossAx val="2001658528"/>
        <c:crosses val="autoZero"/>
        <c:auto val="1"/>
        <c:lblAlgn val="ctr"/>
        <c:lblOffset val="50"/>
        <c:noMultiLvlLbl val="0"/>
      </c:catAx>
      <c:valAx>
        <c:axId val="2001658528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77"/>
                <a:ea typeface="+mn-ea"/>
                <a:cs typeface="+mn-cs"/>
              </a:defRPr>
            </a:pPr>
            <a:endParaRPr lang="en-US"/>
          </a:p>
        </c:txPr>
        <c:crossAx val="200131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6746582610066554"/>
          <c:y val="0.94277508181860459"/>
          <c:w val="0.66909692340535809"/>
          <c:h val="5.7224918181395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Montserrat" panose="00000500000000000000" pitchFamily="2" charset="77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683260</xdr:colOff>
      <xdr:row>22</xdr:row>
      <xdr:rowOff>63500</xdr:rowOff>
    </xdr:from>
    <xdr:to>
      <xdr:col>10</xdr:col>
      <xdr:colOff>60960</xdr:colOff>
      <xdr:row>42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62B993-48B1-244A-9E96-23EDDA1B7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139700</xdr:colOff>
      <xdr:row>22</xdr:row>
      <xdr:rowOff>63500</xdr:rowOff>
    </xdr:from>
    <xdr:to>
      <xdr:col>4</xdr:col>
      <xdr:colOff>695960</xdr:colOff>
      <xdr:row>42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2384D6-C5C5-6F42-99F4-98A4E84A0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0.89311</cdr:x>
      <cdr:y>0.8858</cdr:y>
    </cdr:from>
    <cdr:to>
      <cdr:x>0.98496</cdr:x>
      <cdr:y>0.98216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CC617813-3097-1B8C-50E7-11251E63291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935856" y="3644900"/>
          <a:ext cx="404764" cy="396492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0</xdr:row>
      <xdr:rowOff>152400</xdr:rowOff>
    </xdr:from>
    <xdr:to>
      <xdr:col>11</xdr:col>
      <xdr:colOff>203200</xdr:colOff>
      <xdr:row>18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B8BC02-470A-517D-A258-ADD00280A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349250</xdr:colOff>
      <xdr:row>0</xdr:row>
      <xdr:rowOff>165100</xdr:rowOff>
    </xdr:from>
    <xdr:to>
      <xdr:col>15</xdr:col>
      <xdr:colOff>304800</xdr:colOff>
      <xdr:row>18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189BA5-1DE1-BB02-DF57-E8908D166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0.88707</cdr:x>
      <cdr:y>0.88989</cdr:y>
    </cdr:from>
    <cdr:to>
      <cdr:x>1</cdr:x>
      <cdr:y>1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679A3340-9599-31FA-24A8-B24464D9F22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092450" y="3130550"/>
          <a:ext cx="393700" cy="38735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0.881</cdr:x>
      <cdr:y>0.88949</cdr:y>
    </cdr:from>
    <cdr:to>
      <cdr:x>1</cdr:x>
      <cdr:y>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CC617813-3097-1B8C-50E7-11251E63291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914650" y="3117850"/>
          <a:ext cx="393700" cy="387350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6</xdr:row>
      <xdr:rowOff>152400</xdr:rowOff>
    </xdr:from>
    <xdr:to>
      <xdr:col>6</xdr:col>
      <xdr:colOff>25400</xdr:colOff>
      <xdr:row>27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2B4A7-2C34-E7AD-3A25-D2B342775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0.87827</cdr:x>
      <cdr:y>0.89058</cdr:y>
    </cdr:from>
    <cdr:to>
      <cdr:x>1</cdr:x>
      <cdr:y>1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E779B6D6-1326-6A92-F067-F97A4B199CF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480056" y="3721100"/>
          <a:ext cx="482343" cy="457200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258688</xdr:colOff>
      <xdr:row>38</xdr:row>
      <xdr:rowOff>178038</xdr:rowOff>
    </xdr:from>
    <xdr:to>
      <xdr:col>13</xdr:col>
      <xdr:colOff>652805</xdr:colOff>
      <xdr:row>56</xdr:row>
      <xdr:rowOff>154301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B8B73-2EAB-961E-8B86-D30E9C434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0.91828</cdr:x>
      <cdr:y>0.86995</cdr:y>
    </cdr:from>
    <cdr:to>
      <cdr:x>1</cdr:x>
      <cdr:y>1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E779B6D6-1326-6A92-F067-F97A4B199CF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789740" y="3255177"/>
          <a:ext cx="515217" cy="48663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0.09289</cdr:x>
      <cdr:y>0.51792</cdr:y>
    </cdr:from>
    <cdr:to>
      <cdr:x>0.26926</cdr:x>
      <cdr:y>0.51792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7EC3560-F271-8826-5076-AEEF5B11CD7C}"/>
            </a:ext>
          </a:extLst>
        </cdr:cNvPr>
        <cdr:cNvCxnSpPr/>
      </cdr:nvCxnSpPr>
      <cdr:spPr>
        <a:xfrm xmlns:a="http://schemas.openxmlformats.org/drawingml/2006/main">
          <a:off x="582688" y="1862313"/>
          <a:ext cx="1106424" cy="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0.21942</cdr:x>
      <cdr:y>0.24802</cdr:y>
    </cdr:from>
    <cdr:to>
      <cdr:x>0.39572</cdr:x>
      <cdr:y>0.24802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531E3191-E50A-E35C-3CEF-F3D2CCF88726}"/>
            </a:ext>
          </a:extLst>
        </cdr:cNvPr>
        <cdr:cNvCxnSpPr/>
      </cdr:nvCxnSpPr>
      <cdr:spPr>
        <a:xfrm xmlns:a="http://schemas.openxmlformats.org/drawingml/2006/main">
          <a:off x="1376437" y="891822"/>
          <a:ext cx="1105958" cy="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0.34477</cdr:x>
      <cdr:y>0.17738</cdr:y>
    </cdr:from>
    <cdr:to>
      <cdr:x>0.52114</cdr:x>
      <cdr:y>0.17738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531E3191-E50A-E35C-3CEF-F3D2CCF88726}"/>
            </a:ext>
          </a:extLst>
        </cdr:cNvPr>
        <cdr:cNvCxnSpPr/>
      </cdr:nvCxnSpPr>
      <cdr:spPr>
        <a:xfrm xmlns:a="http://schemas.openxmlformats.org/drawingml/2006/main">
          <a:off x="2162780" y="637821"/>
          <a:ext cx="1106424" cy="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0.47299</cdr:x>
      <cdr:y>0.20976</cdr:y>
    </cdr:from>
    <cdr:to>
      <cdr:x>0.64936</cdr:x>
      <cdr:y>0.20976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531E3191-E50A-E35C-3CEF-F3D2CCF88726}"/>
            </a:ext>
          </a:extLst>
        </cdr:cNvPr>
        <cdr:cNvCxnSpPr/>
      </cdr:nvCxnSpPr>
      <cdr:spPr>
        <a:xfrm xmlns:a="http://schemas.openxmlformats.org/drawingml/2006/main">
          <a:off x="2967113" y="754238"/>
          <a:ext cx="1106424" cy="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0.59867</cdr:x>
      <cdr:y>0.23772</cdr:y>
    </cdr:from>
    <cdr:to>
      <cdr:x>0.77505</cdr:x>
      <cdr:y>0.23772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531E3191-E50A-E35C-3CEF-F3D2CCF88726}"/>
            </a:ext>
          </a:extLst>
        </cdr:cNvPr>
        <cdr:cNvCxnSpPr/>
      </cdr:nvCxnSpPr>
      <cdr:spPr>
        <a:xfrm xmlns:a="http://schemas.openxmlformats.org/drawingml/2006/main">
          <a:off x="3755571" y="854780"/>
          <a:ext cx="1106424" cy="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0.7252</cdr:x>
      <cdr:y>0.5688</cdr:y>
    </cdr:from>
    <cdr:to>
      <cdr:x>0.90158</cdr:x>
      <cdr:y>0.5688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531E3191-E50A-E35C-3CEF-F3D2CCF88726}"/>
            </a:ext>
          </a:extLst>
        </cdr:cNvPr>
        <cdr:cNvCxnSpPr/>
      </cdr:nvCxnSpPr>
      <cdr:spPr>
        <a:xfrm xmlns:a="http://schemas.openxmlformats.org/drawingml/2006/main">
          <a:off x="4562502" y="2078239"/>
          <a:ext cx="1109630" cy="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0.04982</cdr:x>
      <cdr:y>0</cdr:y>
    </cdr:from>
    <cdr:to>
      <cdr:x>0.93648</cdr:x>
      <cdr:y>0.11531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D841A2E-3E55-8058-4670-75A02B69C221}"/>
            </a:ext>
          </a:extLst>
        </cdr:cNvPr>
        <cdr:cNvSpPr txBox="1"/>
      </cdr:nvSpPr>
      <cdr:spPr>
        <a:xfrm xmlns:a="http://schemas.openxmlformats.org/drawingml/2006/main">
          <a:off x="312813" y="0"/>
          <a:ext cx="5566832" cy="414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rgbClr val="595959"/>
              </a:solidFill>
              <a:latin typeface="Montserrat" pitchFamily="2" charset="77"/>
            </a:rPr>
            <a:t>Savings from meeting load growth with clean power ($B/y)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2B50-4891-9545-9E51-E2385F0430E8}">
  <dimension ref="A1:Y36"/>
  <sheetViews>
    <sheetView tabSelected="1" zoomScale="120" zoomScaleNormal="120" workbookViewId="0">
      <selection activeCell="M2" sqref="M2"/>
    </sheetView>
  </sheetViews>
  <sheetFormatPr baseColWidth="10" defaultColWidth="11" defaultRowHeight="16" x14ac:dyDescent="0.2"/>
  <cols>
    <col min="1" max="1" width="14.83203125" bestFit="1" customWidth="1"/>
    <col min="2" max="2" width="14.83203125" customWidth="1"/>
  </cols>
  <sheetData>
    <row r="1" spans="1:25" ht="17" thickBot="1" x14ac:dyDescent="0.25">
      <c r="A1" t="s">
        <v>76</v>
      </c>
      <c r="F1" t="s">
        <v>77</v>
      </c>
      <c r="M1" t="s">
        <v>79</v>
      </c>
      <c r="T1" t="s">
        <v>78</v>
      </c>
    </row>
    <row r="2" spans="1:25" ht="46" thickBot="1" x14ac:dyDescent="0.25">
      <c r="A2" t="s">
        <v>0</v>
      </c>
      <c r="B2">
        <v>2025</v>
      </c>
      <c r="C2" t="s">
        <v>1</v>
      </c>
      <c r="D2" t="s">
        <v>2</v>
      </c>
      <c r="F2" t="s">
        <v>0</v>
      </c>
      <c r="G2">
        <v>2025</v>
      </c>
      <c r="H2" t="s">
        <v>1</v>
      </c>
      <c r="I2" t="s">
        <v>2</v>
      </c>
      <c r="K2" t="s">
        <v>88</v>
      </c>
      <c r="L2" t="s">
        <v>89</v>
      </c>
      <c r="M2" s="3" t="s">
        <v>0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T2" s="3" t="s">
        <v>0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66</v>
      </c>
    </row>
    <row r="3" spans="1:25" ht="17" thickBot="1" x14ac:dyDescent="0.25">
      <c r="A3" t="s">
        <v>5</v>
      </c>
      <c r="B3" s="13" cm="1">
        <f t="array" ref="B3:B14">_xlfn.XLOOKUP($A3:$A14, $M23:$M36, $N23:$N36)</f>
        <v>171</v>
      </c>
      <c r="C3" s="13" cm="1">
        <f t="array" ref="C3:C14">SUMIF($K3:K19, $A3:A14, X3:X19)</f>
        <v>171.6</v>
      </c>
      <c r="D3" s="13" cm="1">
        <f t="array" ref="D3:D14">SUMIF($K3:K19, $A3:A14, Q3:Q19)</f>
        <v>84.3</v>
      </c>
      <c r="F3" t="s">
        <v>5</v>
      </c>
      <c r="G3" s="15" cm="1">
        <f t="array" ref="G3:G12">_xlfn.XLOOKUP($F3:$F12, $M23:$M36, $O23:$O36)</f>
        <v>737.15071106999994</v>
      </c>
      <c r="H3" s="15" cm="1">
        <f t="array" ref="H3:H12">SUMIF($K3:K19, $F3:F12, Y3:Y19)</f>
        <v>1061.5999999999999</v>
      </c>
      <c r="I3" s="15" cm="1">
        <f t="array" ref="I3:I12">SUMIF($K3:K19, $F3:F12, R3:R19)</f>
        <v>545.70000000000005</v>
      </c>
      <c r="K3" t="s">
        <v>5</v>
      </c>
      <c r="L3" t="s">
        <v>53</v>
      </c>
      <c r="M3" s="5" t="s">
        <v>5</v>
      </c>
      <c r="N3" s="8">
        <v>171.6</v>
      </c>
      <c r="O3" s="7"/>
      <c r="P3" s="8">
        <v>87.4</v>
      </c>
      <c r="Q3" s="8">
        <v>84.3</v>
      </c>
      <c r="R3" s="8">
        <v>545.70000000000005</v>
      </c>
      <c r="T3" s="5" t="s">
        <v>5</v>
      </c>
      <c r="U3" s="8">
        <v>171.6</v>
      </c>
      <c r="V3" s="7"/>
      <c r="W3" s="7"/>
      <c r="X3" s="8">
        <v>171.6</v>
      </c>
      <c r="Y3" s="6">
        <v>1061.5999999999999</v>
      </c>
    </row>
    <row r="4" spans="1:25" ht="17" thickBot="1" x14ac:dyDescent="0.25">
      <c r="A4" t="s">
        <v>6</v>
      </c>
      <c r="B4" s="13">
        <v>548</v>
      </c>
      <c r="C4" s="13">
        <v>573.1</v>
      </c>
      <c r="D4" s="13">
        <v>427.09999999999997</v>
      </c>
      <c r="F4" t="s">
        <v>6</v>
      </c>
      <c r="G4" s="15">
        <v>1807.33828797</v>
      </c>
      <c r="H4" s="15">
        <v>1887.5</v>
      </c>
      <c r="I4" s="15">
        <v>1453.8000000000002</v>
      </c>
      <c r="K4" t="s">
        <v>6</v>
      </c>
      <c r="L4" t="s">
        <v>53</v>
      </c>
      <c r="M4" s="5" t="s">
        <v>67</v>
      </c>
      <c r="N4" s="8">
        <v>312.60000000000002</v>
      </c>
      <c r="O4" s="8">
        <v>14.9</v>
      </c>
      <c r="P4" s="8">
        <v>26.6</v>
      </c>
      <c r="Q4" s="8">
        <v>299.5</v>
      </c>
      <c r="R4" s="6">
        <v>1430.7</v>
      </c>
      <c r="T4" s="5" t="s">
        <v>67</v>
      </c>
      <c r="U4" s="8">
        <v>312.60000000000002</v>
      </c>
      <c r="V4" s="8">
        <v>20.2</v>
      </c>
      <c r="W4" s="7"/>
      <c r="X4" s="8">
        <v>332.8</v>
      </c>
      <c r="Y4" s="6">
        <v>1838.4</v>
      </c>
    </row>
    <row r="5" spans="1:25" ht="17" thickBot="1" x14ac:dyDescent="0.25">
      <c r="A5" t="s">
        <v>7</v>
      </c>
      <c r="B5" s="13">
        <v>100</v>
      </c>
      <c r="C5" s="13">
        <v>99.9</v>
      </c>
      <c r="D5" s="13">
        <v>99.9</v>
      </c>
      <c r="F5" t="s">
        <v>7</v>
      </c>
      <c r="G5" s="15">
        <v>784.78071799999998</v>
      </c>
      <c r="H5" s="15">
        <v>805.7</v>
      </c>
      <c r="I5" s="15">
        <v>805.7</v>
      </c>
      <c r="K5" t="s">
        <v>6</v>
      </c>
      <c r="L5" t="s">
        <v>53</v>
      </c>
      <c r="M5" s="5" t="s">
        <v>68</v>
      </c>
      <c r="N5" s="8">
        <v>149.69999999999999</v>
      </c>
      <c r="O5" s="8">
        <v>8.4</v>
      </c>
      <c r="P5" s="8">
        <v>37.200000000000003</v>
      </c>
      <c r="Q5" s="8">
        <v>117.9</v>
      </c>
      <c r="R5" s="8">
        <v>8.6999999999999993</v>
      </c>
      <c r="T5" s="5" t="s">
        <v>68</v>
      </c>
      <c r="U5" s="8">
        <v>149.69999999999999</v>
      </c>
      <c r="V5" s="8">
        <v>8.4</v>
      </c>
      <c r="W5" s="7"/>
      <c r="X5" s="8">
        <v>158.19999999999999</v>
      </c>
      <c r="Y5" s="8">
        <v>12.3</v>
      </c>
    </row>
    <row r="6" spans="1:25" ht="17" thickBot="1" x14ac:dyDescent="0.25">
      <c r="A6" t="s">
        <v>8</v>
      </c>
      <c r="B6" s="13">
        <v>79</v>
      </c>
      <c r="C6" s="13">
        <v>96</v>
      </c>
      <c r="D6" s="13">
        <v>96</v>
      </c>
      <c r="F6" t="s">
        <v>8</v>
      </c>
      <c r="G6" s="15">
        <v>247.02320954999999</v>
      </c>
      <c r="H6" s="15">
        <v>249.7</v>
      </c>
      <c r="I6" s="15">
        <v>249.6</v>
      </c>
      <c r="K6" t="s">
        <v>6</v>
      </c>
      <c r="L6" t="s">
        <v>53</v>
      </c>
      <c r="M6" s="5" t="s">
        <v>69</v>
      </c>
      <c r="N6" s="8">
        <v>81.599999999999994</v>
      </c>
      <c r="O6" s="8">
        <v>0.4</v>
      </c>
      <c r="P6" s="8">
        <v>72</v>
      </c>
      <c r="Q6" s="8">
        <v>9.6999999999999993</v>
      </c>
      <c r="R6" s="8">
        <v>14.4</v>
      </c>
      <c r="T6" s="5" t="s">
        <v>69</v>
      </c>
      <c r="U6" s="8">
        <v>81.599999999999994</v>
      </c>
      <c r="V6" s="8">
        <v>0.4</v>
      </c>
      <c r="W6" s="7"/>
      <c r="X6" s="8">
        <v>82.1</v>
      </c>
      <c r="Y6" s="8">
        <v>36.799999999999997</v>
      </c>
    </row>
    <row r="7" spans="1:25" ht="17" thickBot="1" x14ac:dyDescent="0.25">
      <c r="A7" t="s">
        <v>9</v>
      </c>
      <c r="B7" s="13">
        <v>158</v>
      </c>
      <c r="C7" s="13">
        <v>183</v>
      </c>
      <c r="D7" s="13">
        <v>223</v>
      </c>
      <c r="F7" t="s">
        <v>9</v>
      </c>
      <c r="G7" s="15">
        <v>464.39060973000005</v>
      </c>
      <c r="H7" s="15">
        <v>587.1</v>
      </c>
      <c r="I7" s="15">
        <v>742.9</v>
      </c>
      <c r="K7" t="s">
        <v>7</v>
      </c>
      <c r="M7" s="5" t="s">
        <v>7</v>
      </c>
      <c r="N7" s="8">
        <v>99.9</v>
      </c>
      <c r="O7" s="7"/>
      <c r="P7" s="7"/>
      <c r="Q7" s="8">
        <v>99.9</v>
      </c>
      <c r="R7" s="8">
        <v>805.7</v>
      </c>
      <c r="T7" s="5" t="s">
        <v>7</v>
      </c>
      <c r="U7" s="8">
        <v>99.9</v>
      </c>
      <c r="V7" s="7"/>
      <c r="W7" s="7"/>
      <c r="X7" s="8">
        <v>99.9</v>
      </c>
      <c r="Y7" s="8">
        <v>805.7</v>
      </c>
    </row>
    <row r="8" spans="1:25" ht="31" thickBot="1" x14ac:dyDescent="0.25">
      <c r="A8" t="s">
        <v>10</v>
      </c>
      <c r="B8" s="13">
        <v>0.1</v>
      </c>
      <c r="C8" s="13">
        <v>9.8000000000000007</v>
      </c>
      <c r="D8" s="13">
        <v>9.8000000000000007</v>
      </c>
      <c r="F8" t="s">
        <v>10</v>
      </c>
      <c r="G8" s="15">
        <v>0</v>
      </c>
      <c r="H8" s="15">
        <v>43</v>
      </c>
      <c r="I8" s="15">
        <v>43</v>
      </c>
      <c r="K8" t="s">
        <v>8</v>
      </c>
      <c r="M8" s="5" t="s">
        <v>70</v>
      </c>
      <c r="N8" s="8">
        <v>72.8</v>
      </c>
      <c r="O8" s="7"/>
      <c r="P8" s="7"/>
      <c r="Q8" s="8">
        <v>72.8</v>
      </c>
      <c r="R8" s="8">
        <v>249.6</v>
      </c>
      <c r="T8" s="5" t="s">
        <v>70</v>
      </c>
      <c r="U8" s="8">
        <v>72.8</v>
      </c>
      <c r="V8" s="7"/>
      <c r="W8" s="7"/>
      <c r="X8" s="8">
        <v>72.8</v>
      </c>
      <c r="Y8" s="8">
        <v>249.7</v>
      </c>
    </row>
    <row r="9" spans="1:25" ht="31" thickBot="1" x14ac:dyDescent="0.25">
      <c r="A9" t="s">
        <v>11</v>
      </c>
      <c r="B9" s="13">
        <v>148</v>
      </c>
      <c r="C9" s="13">
        <v>228.3</v>
      </c>
      <c r="D9" s="13">
        <v>500</v>
      </c>
      <c r="F9" t="s">
        <v>11</v>
      </c>
      <c r="G9" s="15">
        <v>295.67138247999998</v>
      </c>
      <c r="H9" s="15">
        <v>469.3</v>
      </c>
      <c r="I9" s="15">
        <v>1076</v>
      </c>
      <c r="K9" t="s">
        <v>9</v>
      </c>
      <c r="M9" s="5" t="s">
        <v>9</v>
      </c>
      <c r="N9" s="8">
        <v>157.69999999999999</v>
      </c>
      <c r="O9" s="8">
        <v>65.3</v>
      </c>
      <c r="P9" s="7"/>
      <c r="Q9" s="8">
        <v>223</v>
      </c>
      <c r="R9" s="8">
        <v>742.9</v>
      </c>
      <c r="T9" s="5" t="s">
        <v>9</v>
      </c>
      <c r="U9" s="8">
        <v>157.69999999999999</v>
      </c>
      <c r="V9" s="8">
        <v>25.3</v>
      </c>
      <c r="W9" s="7"/>
      <c r="X9" s="8">
        <v>183</v>
      </c>
      <c r="Y9" s="8">
        <v>587.1</v>
      </c>
    </row>
    <row r="10" spans="1:25" ht="31" thickBot="1" x14ac:dyDescent="0.25">
      <c r="A10" t="s">
        <v>12</v>
      </c>
      <c r="B10" s="13">
        <v>59.505547</v>
      </c>
      <c r="C10" s="13">
        <v>54.8</v>
      </c>
      <c r="D10" s="13">
        <v>54.8</v>
      </c>
      <c r="F10" t="s">
        <v>12</v>
      </c>
      <c r="G10" s="15">
        <v>93.148477139999997</v>
      </c>
      <c r="H10" s="15">
        <v>99.6</v>
      </c>
      <c r="I10" s="15">
        <v>100</v>
      </c>
      <c r="K10" t="s">
        <v>10</v>
      </c>
      <c r="M10" s="5" t="s">
        <v>10</v>
      </c>
      <c r="N10" s="8">
        <v>0.2</v>
      </c>
      <c r="O10" s="8">
        <v>9.6</v>
      </c>
      <c r="P10" s="7"/>
      <c r="Q10" s="8">
        <v>9.8000000000000007</v>
      </c>
      <c r="R10" s="8">
        <v>43</v>
      </c>
      <c r="T10" s="5" t="s">
        <v>10</v>
      </c>
      <c r="U10" s="8">
        <v>0.2</v>
      </c>
      <c r="V10" s="8">
        <v>9.6</v>
      </c>
      <c r="W10" s="7"/>
      <c r="X10" s="8">
        <v>9.8000000000000007</v>
      </c>
      <c r="Y10" s="8">
        <v>43</v>
      </c>
    </row>
    <row r="11" spans="1:25" ht="17" thickBot="1" x14ac:dyDescent="0.25">
      <c r="A11" t="s">
        <v>13</v>
      </c>
      <c r="B11" s="13">
        <v>42</v>
      </c>
      <c r="C11" s="13">
        <v>91</v>
      </c>
      <c r="D11" s="13">
        <v>113.5</v>
      </c>
      <c r="F11" t="s">
        <v>14</v>
      </c>
      <c r="G11" s="15">
        <v>36.611411349999997</v>
      </c>
      <c r="H11" s="15">
        <v>82.6</v>
      </c>
      <c r="I11" s="15">
        <v>82.3</v>
      </c>
      <c r="K11" t="s">
        <v>11</v>
      </c>
      <c r="M11" s="5" t="s">
        <v>71</v>
      </c>
      <c r="N11" s="8">
        <v>150.5</v>
      </c>
      <c r="O11" s="8">
        <v>349.6</v>
      </c>
      <c r="P11" s="7"/>
      <c r="Q11" s="8">
        <v>500</v>
      </c>
      <c r="R11" s="6">
        <v>1076</v>
      </c>
      <c r="T11" s="5" t="s">
        <v>71</v>
      </c>
      <c r="U11" s="8">
        <v>150.5</v>
      </c>
      <c r="V11" s="8">
        <v>77.900000000000006</v>
      </c>
      <c r="W11" s="7"/>
      <c r="X11" s="8">
        <v>228.3</v>
      </c>
      <c r="Y11" s="8">
        <v>469.3</v>
      </c>
    </row>
    <row r="12" spans="1:25" ht="17" thickBot="1" x14ac:dyDescent="0.25">
      <c r="A12" t="s">
        <v>14</v>
      </c>
      <c r="B12" s="13">
        <v>62</v>
      </c>
      <c r="C12" s="13">
        <v>32.200000000000003</v>
      </c>
      <c r="D12" s="13">
        <v>32.200000000000003</v>
      </c>
      <c r="F12" t="s">
        <v>58</v>
      </c>
      <c r="G12" s="15">
        <v>0</v>
      </c>
      <c r="H12" s="15">
        <v>0</v>
      </c>
      <c r="I12" s="15">
        <v>186</v>
      </c>
      <c r="K12" t="s">
        <v>12</v>
      </c>
      <c r="M12" s="5" t="s">
        <v>72</v>
      </c>
      <c r="N12" s="7"/>
      <c r="O12" s="7"/>
      <c r="P12" s="7"/>
      <c r="Q12" s="8">
        <v>54.8</v>
      </c>
      <c r="R12" s="8">
        <v>100</v>
      </c>
      <c r="T12" s="5" t="s">
        <v>72</v>
      </c>
      <c r="U12" s="7"/>
      <c r="V12" s="7"/>
      <c r="W12" s="7"/>
      <c r="X12" s="8">
        <v>54.8</v>
      </c>
      <c r="Y12" s="8">
        <v>99.6</v>
      </c>
    </row>
    <row r="13" spans="1:25" ht="31" thickBot="1" x14ac:dyDescent="0.25">
      <c r="A13" t="s">
        <v>59</v>
      </c>
      <c r="B13" s="13" t="e">
        <v>#N/A</v>
      </c>
      <c r="C13" s="13">
        <v>0</v>
      </c>
      <c r="D13" s="13">
        <v>26.3</v>
      </c>
      <c r="G13" s="15"/>
      <c r="H13" s="15"/>
      <c r="I13" s="15"/>
      <c r="K13" t="s">
        <v>14</v>
      </c>
      <c r="M13" s="5" t="s">
        <v>16</v>
      </c>
      <c r="N13" s="8">
        <v>3</v>
      </c>
      <c r="O13" s="8">
        <v>0.1</v>
      </c>
      <c r="P13" s="7"/>
      <c r="Q13" s="8">
        <v>3.1</v>
      </c>
      <c r="R13" s="8">
        <v>25.1</v>
      </c>
      <c r="T13" s="5" t="s">
        <v>16</v>
      </c>
      <c r="U13" s="8">
        <v>3</v>
      </c>
      <c r="V13" s="8">
        <v>0.1</v>
      </c>
      <c r="W13" s="7"/>
      <c r="X13" s="8">
        <v>3.1</v>
      </c>
      <c r="Y13" s="8">
        <v>25.1</v>
      </c>
    </row>
    <row r="14" spans="1:25" ht="31" thickBot="1" x14ac:dyDescent="0.25">
      <c r="A14" t="s">
        <v>58</v>
      </c>
      <c r="B14" s="13">
        <v>0</v>
      </c>
      <c r="C14" s="13">
        <v>0</v>
      </c>
      <c r="D14" s="13">
        <v>32.9</v>
      </c>
      <c r="G14" s="16"/>
      <c r="H14" s="16"/>
      <c r="I14" s="16"/>
      <c r="K14" t="s">
        <v>8</v>
      </c>
      <c r="M14" s="5" t="s">
        <v>73</v>
      </c>
      <c r="N14" s="8">
        <v>23.2</v>
      </c>
      <c r="O14" s="7"/>
      <c r="P14" s="7"/>
      <c r="Q14" s="8">
        <v>23.2</v>
      </c>
      <c r="R14" s="8" t="s">
        <v>80</v>
      </c>
      <c r="T14" s="5" t="s">
        <v>73</v>
      </c>
      <c r="U14" s="8">
        <v>23.2</v>
      </c>
      <c r="V14" s="7"/>
      <c r="W14" s="7"/>
      <c r="X14" s="8">
        <v>23.2</v>
      </c>
      <c r="Y14" s="8" t="s">
        <v>82</v>
      </c>
    </row>
    <row r="15" spans="1:25" ht="17" thickBot="1" x14ac:dyDescent="0.25">
      <c r="B15" s="13"/>
      <c r="C15" s="13"/>
      <c r="D15" s="13"/>
      <c r="G15" s="15"/>
      <c r="H15" s="15"/>
      <c r="I15" s="15"/>
      <c r="K15" t="s">
        <v>13</v>
      </c>
      <c r="M15" s="5" t="s">
        <v>13</v>
      </c>
      <c r="N15" s="8">
        <v>42.5</v>
      </c>
      <c r="O15" s="8">
        <v>71</v>
      </c>
      <c r="P15" s="7"/>
      <c r="Q15" s="8">
        <v>113.5</v>
      </c>
      <c r="R15" s="8" t="s">
        <v>81</v>
      </c>
      <c r="T15" s="5" t="s">
        <v>13</v>
      </c>
      <c r="U15" s="8">
        <v>42.5</v>
      </c>
      <c r="V15" s="8">
        <v>48.5</v>
      </c>
      <c r="W15" s="7"/>
      <c r="X15" s="8">
        <v>91</v>
      </c>
      <c r="Y15" s="8" t="s">
        <v>83</v>
      </c>
    </row>
    <row r="16" spans="1:25" ht="17" thickBot="1" x14ac:dyDescent="0.25">
      <c r="A16" t="s">
        <v>87</v>
      </c>
      <c r="B16" s="14"/>
      <c r="C16" s="14"/>
      <c r="D16" s="14"/>
      <c r="G16" s="15">
        <f>SUM(G3:G12)</f>
        <v>4466.1148072899996</v>
      </c>
      <c r="H16" s="15">
        <f>SUM(H3:H12)</f>
        <v>5286.1000000000013</v>
      </c>
      <c r="I16" s="15">
        <f>SUM(I3:I12)</f>
        <v>5285.0000000000009</v>
      </c>
      <c r="J16" s="10">
        <f>I16-H16</f>
        <v>-1.1000000000003638</v>
      </c>
      <c r="K16" t="s">
        <v>14</v>
      </c>
      <c r="L16" t="s">
        <v>53</v>
      </c>
      <c r="M16" s="5" t="s">
        <v>14</v>
      </c>
      <c r="N16" s="8">
        <v>29.7</v>
      </c>
      <c r="O16" s="7"/>
      <c r="P16" s="8">
        <v>0.8</v>
      </c>
      <c r="Q16" s="8">
        <v>29.1</v>
      </c>
      <c r="R16" s="8">
        <v>34.5</v>
      </c>
      <c r="T16" s="5" t="s">
        <v>14</v>
      </c>
      <c r="U16" s="8">
        <v>29.7</v>
      </c>
      <c r="V16" s="7"/>
      <c r="W16" s="8">
        <v>0.8</v>
      </c>
      <c r="X16" s="8">
        <v>29.1</v>
      </c>
      <c r="Y16" s="8">
        <v>34.799999999999997</v>
      </c>
    </row>
    <row r="17" spans="1:25" ht="31" thickBot="1" x14ac:dyDescent="0.25">
      <c r="A17" t="s">
        <v>75</v>
      </c>
      <c r="B17" s="13">
        <f>SUM(B7:B8)</f>
        <v>158.1</v>
      </c>
      <c r="C17" s="13">
        <f>SUM(C7:C8)</f>
        <v>192.8</v>
      </c>
      <c r="D17" s="13">
        <f>SUM(D7:D8)</f>
        <v>232.8</v>
      </c>
      <c r="G17" s="15">
        <f>SUM(G7:G8)</f>
        <v>464.39060973000005</v>
      </c>
      <c r="H17" s="15">
        <f>SUM(H7:H8)</f>
        <v>630.1</v>
      </c>
      <c r="I17" s="15">
        <f>SUM(I7:I8)</f>
        <v>785.9</v>
      </c>
      <c r="K17" t="s">
        <v>14</v>
      </c>
      <c r="M17" s="5" t="s">
        <v>74</v>
      </c>
      <c r="N17" s="7"/>
      <c r="O17" s="7"/>
      <c r="P17" s="7"/>
      <c r="Q17" s="7"/>
      <c r="R17" s="8">
        <v>22.7</v>
      </c>
      <c r="T17" s="5" t="s">
        <v>74</v>
      </c>
      <c r="U17" s="7"/>
      <c r="V17" s="7"/>
      <c r="W17" s="7"/>
      <c r="X17" s="7"/>
      <c r="Y17" s="8">
        <v>22.7</v>
      </c>
    </row>
    <row r="18" spans="1:25" ht="31" thickBot="1" x14ac:dyDescent="0.25">
      <c r="B18" s="14"/>
      <c r="C18" s="14"/>
      <c r="D18" s="14"/>
      <c r="G18" s="16"/>
      <c r="H18" s="16"/>
      <c r="I18" s="16"/>
      <c r="K18" t="s">
        <v>58</v>
      </c>
      <c r="M18" s="5" t="s">
        <v>58</v>
      </c>
      <c r="N18" s="7"/>
      <c r="O18" s="8">
        <v>32.9</v>
      </c>
      <c r="P18" s="7"/>
      <c r="Q18" s="8">
        <v>32.9</v>
      </c>
      <c r="R18" s="8">
        <v>186</v>
      </c>
      <c r="T18" s="5" t="s">
        <v>58</v>
      </c>
      <c r="U18" s="7"/>
      <c r="V18" s="7"/>
      <c r="W18" s="7"/>
      <c r="X18" s="7"/>
      <c r="Y18" s="7"/>
    </row>
    <row r="19" spans="1:25" ht="31" thickBot="1" x14ac:dyDescent="0.25">
      <c r="B19" s="14" t="s">
        <v>91</v>
      </c>
      <c r="C19" s="14" t="s">
        <v>92</v>
      </c>
      <c r="D19" s="14" t="s">
        <v>90</v>
      </c>
      <c r="G19" s="16"/>
      <c r="H19" s="16" t="s">
        <v>91</v>
      </c>
      <c r="I19" s="16" t="s">
        <v>92</v>
      </c>
      <c r="K19" t="s">
        <v>59</v>
      </c>
      <c r="M19" s="5" t="s">
        <v>60</v>
      </c>
      <c r="N19" s="7"/>
      <c r="O19" s="8">
        <v>26.3</v>
      </c>
      <c r="P19" s="7"/>
      <c r="Q19" s="8">
        <v>26.3</v>
      </c>
      <c r="R19" s="7"/>
      <c r="T19" s="5" t="s">
        <v>60</v>
      </c>
      <c r="U19" s="7"/>
      <c r="V19" s="7"/>
      <c r="W19" s="7"/>
      <c r="X19" s="7"/>
      <c r="Y19" s="7"/>
    </row>
    <row r="20" spans="1:25" x14ac:dyDescent="0.2">
      <c r="A20" t="s">
        <v>61</v>
      </c>
      <c r="B20" s="13">
        <f>SUM(C3:C4)</f>
        <v>744.7</v>
      </c>
      <c r="C20" s="13">
        <f>SUM(D3:D4)</f>
        <v>511.4</v>
      </c>
      <c r="D20" s="13">
        <f>B20-C20</f>
        <v>233.30000000000007</v>
      </c>
      <c r="F20" t="s">
        <v>93</v>
      </c>
      <c r="G20" s="16"/>
      <c r="H20" s="15">
        <f>100*SUMIF($L3:$L16, "Fossil", Y3:Y16)/SUM(Y3:Y19)</f>
        <v>56.448042980647358</v>
      </c>
      <c r="I20" s="15">
        <f>100*SUMIF($L3:$L16, "Fossil", R3:R16)/SUM(R3:R19)</f>
        <v>38.48628192999054</v>
      </c>
    </row>
    <row r="22" spans="1:25" x14ac:dyDescent="0.2">
      <c r="M22" s="9" t="s">
        <v>84</v>
      </c>
      <c r="N22" s="9" t="s">
        <v>85</v>
      </c>
      <c r="O22" s="9" t="s">
        <v>39</v>
      </c>
    </row>
    <row r="23" spans="1:25" x14ac:dyDescent="0.2">
      <c r="M23" t="s">
        <v>5</v>
      </c>
      <c r="N23">
        <v>171</v>
      </c>
      <c r="O23">
        <v>737.15071106999994</v>
      </c>
    </row>
    <row r="24" spans="1:25" x14ac:dyDescent="0.2">
      <c r="M24" t="s">
        <v>6</v>
      </c>
      <c r="N24">
        <v>548</v>
      </c>
      <c r="O24">
        <v>1807.33828797</v>
      </c>
    </row>
    <row r="25" spans="1:25" x14ac:dyDescent="0.2">
      <c r="M25" t="s">
        <v>7</v>
      </c>
      <c r="N25">
        <v>100</v>
      </c>
      <c r="O25">
        <v>784.78071799999998</v>
      </c>
    </row>
    <row r="26" spans="1:25" x14ac:dyDescent="0.2">
      <c r="M26" t="s">
        <v>8</v>
      </c>
      <c r="N26">
        <v>79</v>
      </c>
      <c r="O26">
        <v>247.02320954999999</v>
      </c>
    </row>
    <row r="27" spans="1:25" x14ac:dyDescent="0.2">
      <c r="M27" t="s">
        <v>16</v>
      </c>
      <c r="O27">
        <v>15.66881836</v>
      </c>
    </row>
    <row r="28" spans="1:25" x14ac:dyDescent="0.2">
      <c r="M28" t="s">
        <v>15</v>
      </c>
      <c r="O28">
        <v>46.186840629999999</v>
      </c>
    </row>
    <row r="29" spans="1:25" x14ac:dyDescent="0.2">
      <c r="M29" t="s">
        <v>9</v>
      </c>
      <c r="N29">
        <v>158</v>
      </c>
      <c r="O29">
        <v>464.39060973000005</v>
      </c>
    </row>
    <row r="30" spans="1:25" x14ac:dyDescent="0.2">
      <c r="M30" t="s">
        <v>10</v>
      </c>
      <c r="N30">
        <v>0.1</v>
      </c>
      <c r="O30">
        <v>0</v>
      </c>
    </row>
    <row r="31" spans="1:25" x14ac:dyDescent="0.2">
      <c r="M31" t="s">
        <v>11</v>
      </c>
      <c r="N31">
        <v>148</v>
      </c>
      <c r="O31">
        <v>295.67138247999998</v>
      </c>
    </row>
    <row r="32" spans="1:25" x14ac:dyDescent="0.2">
      <c r="M32" t="s">
        <v>12</v>
      </c>
      <c r="N32">
        <v>59.505547</v>
      </c>
      <c r="O32">
        <v>93.148477139999997</v>
      </c>
    </row>
    <row r="33" spans="13:15" x14ac:dyDescent="0.2">
      <c r="M33" t="s">
        <v>13</v>
      </c>
      <c r="N33">
        <v>42</v>
      </c>
    </row>
    <row r="34" spans="13:15" x14ac:dyDescent="0.2">
      <c r="M34" t="s">
        <v>14</v>
      </c>
      <c r="N34">
        <v>62</v>
      </c>
      <c r="O34">
        <v>36.611411349999997</v>
      </c>
    </row>
    <row r="35" spans="13:15" x14ac:dyDescent="0.2">
      <c r="M35" t="s">
        <v>60</v>
      </c>
    </row>
    <row r="36" spans="13:15" x14ac:dyDescent="0.2">
      <c r="M36" t="s">
        <v>58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8937-5040-A444-82BC-C850E4D945D0}">
  <dimension ref="A1:E12"/>
  <sheetViews>
    <sheetView workbookViewId="0">
      <selection activeCell="E8" sqref="E8"/>
    </sheetView>
  </sheetViews>
  <sheetFormatPr baseColWidth="10" defaultColWidth="11" defaultRowHeight="16" x14ac:dyDescent="0.2"/>
  <sheetData>
    <row r="1" spans="1:5" x14ac:dyDescent="0.2">
      <c r="B1" t="s">
        <v>3</v>
      </c>
      <c r="C1" t="s">
        <v>17</v>
      </c>
    </row>
    <row r="2" spans="1:5" x14ac:dyDescent="0.2">
      <c r="A2" t="s">
        <v>18</v>
      </c>
      <c r="B2">
        <v>29.705229425086003</v>
      </c>
      <c r="C2">
        <v>24.645689469813021</v>
      </c>
      <c r="D2" s="10">
        <f>B2-C2</f>
        <v>5.0595399552729816</v>
      </c>
      <c r="E2" s="10"/>
    </row>
    <row r="3" spans="1:5" x14ac:dyDescent="0.2">
      <c r="A3" t="s">
        <v>19</v>
      </c>
      <c r="B3">
        <v>70.250764043747012</v>
      </c>
      <c r="C3">
        <v>56.772947892443028</v>
      </c>
      <c r="D3" s="10">
        <f>B3-C3</f>
        <v>13.477816151303983</v>
      </c>
      <c r="E3" s="10">
        <f>B3-B2</f>
        <v>40.545534618661009</v>
      </c>
    </row>
    <row r="4" spans="1:5" x14ac:dyDescent="0.2">
      <c r="A4" t="s">
        <v>20</v>
      </c>
      <c r="B4">
        <v>7.8543927114540111</v>
      </c>
      <c r="C4">
        <v>5.2274474399100086</v>
      </c>
      <c r="D4" s="10">
        <f>B4-C4</f>
        <v>2.6269452715440025</v>
      </c>
      <c r="E4" s="10"/>
    </row>
    <row r="7" spans="1:5" x14ac:dyDescent="0.2">
      <c r="B7" t="s">
        <v>21</v>
      </c>
      <c r="C7" t="s">
        <v>22</v>
      </c>
    </row>
    <row r="8" spans="1:5" x14ac:dyDescent="0.2">
      <c r="A8" t="s">
        <v>23</v>
      </c>
      <c r="B8" s="10">
        <f>D2</f>
        <v>5.0595399552729816</v>
      </c>
      <c r="C8" s="10">
        <f>D3</f>
        <v>13.477816151303983</v>
      </c>
    </row>
    <row r="11" spans="1:5" x14ac:dyDescent="0.2">
      <c r="B11" t="s">
        <v>21</v>
      </c>
      <c r="C11" t="s">
        <v>24</v>
      </c>
    </row>
    <row r="12" spans="1:5" x14ac:dyDescent="0.2">
      <c r="A12" t="s">
        <v>23</v>
      </c>
      <c r="B12" s="10">
        <f>D2</f>
        <v>5.0595399552729816</v>
      </c>
      <c r="C12" s="10">
        <f>D4</f>
        <v>2.6269452715440025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C712-0CFD-B14B-96E4-97B521A4B579}">
  <dimension ref="A1:D5"/>
  <sheetViews>
    <sheetView workbookViewId="0">
      <selection activeCell="E4" sqref="E4"/>
    </sheetView>
  </sheetViews>
  <sheetFormatPr baseColWidth="10" defaultColWidth="11" defaultRowHeight="16" x14ac:dyDescent="0.2"/>
  <sheetData>
    <row r="1" spans="1:4" x14ac:dyDescent="0.2">
      <c r="A1" t="s">
        <v>46</v>
      </c>
    </row>
    <row r="3" spans="1:4" x14ac:dyDescent="0.2">
      <c r="A3" t="s">
        <v>47</v>
      </c>
      <c r="B3" t="s">
        <v>3</v>
      </c>
      <c r="C3" t="s">
        <v>4</v>
      </c>
    </row>
    <row r="4" spans="1:4" x14ac:dyDescent="0.2">
      <c r="A4" s="2">
        <v>1514</v>
      </c>
      <c r="B4" s="2">
        <f>1000*1.84284793310867</f>
        <v>1842.8479331086701</v>
      </c>
      <c r="C4" s="2">
        <f>1000*1.13069976554854</f>
        <v>1130.69976554854</v>
      </c>
      <c r="D4" s="2"/>
    </row>
    <row r="5" spans="1:4" x14ac:dyDescent="0.2">
      <c r="B5" s="10">
        <f>B4/$A$4-1</f>
        <v>0.21720471143241094</v>
      </c>
      <c r="C5" s="10">
        <f>C4/$A$4-1</f>
        <v>-0.25317056436688246</v>
      </c>
      <c r="D5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95E0-1CD0-914E-886F-CE38FD3D55FC}">
  <dimension ref="A1:H69"/>
  <sheetViews>
    <sheetView zoomScale="120" zoomScaleNormal="120" workbookViewId="0">
      <selection activeCell="K59" sqref="K59"/>
    </sheetView>
  </sheetViews>
  <sheetFormatPr baseColWidth="10" defaultRowHeight="16" x14ac:dyDescent="0.2"/>
  <cols>
    <col min="1" max="1" width="32.5" bestFit="1" customWidth="1"/>
    <col min="2" max="2" width="12.1640625" bestFit="1" customWidth="1"/>
    <col min="3" max="3" width="32.5" bestFit="1" customWidth="1"/>
    <col min="4" max="4" width="12.1640625" bestFit="1" customWidth="1"/>
    <col min="5" max="5" width="32.5" bestFit="1" customWidth="1"/>
    <col min="6" max="6" width="12.1640625" bestFit="1" customWidth="1"/>
    <col min="9" max="9" width="12.1640625" bestFit="1" customWidth="1"/>
  </cols>
  <sheetData>
    <row r="1" spans="1:6" x14ac:dyDescent="0.2">
      <c r="A1">
        <v>2025</v>
      </c>
      <c r="C1" t="s">
        <v>53</v>
      </c>
      <c r="E1" t="s">
        <v>4</v>
      </c>
    </row>
    <row r="2" spans="1:6" x14ac:dyDescent="0.2">
      <c r="A2" t="s">
        <v>25</v>
      </c>
      <c r="B2" t="s">
        <v>26</v>
      </c>
      <c r="C2" s="1" t="s">
        <v>25</v>
      </c>
      <c r="D2" s="1" t="s">
        <v>26</v>
      </c>
      <c r="E2" s="1" t="s">
        <v>25</v>
      </c>
      <c r="F2" s="1" t="s">
        <v>26</v>
      </c>
    </row>
    <row r="3" spans="1:6" x14ac:dyDescent="0.2">
      <c r="A3" t="s">
        <v>27</v>
      </c>
      <c r="B3">
        <v>0</v>
      </c>
      <c r="C3" t="s">
        <v>27</v>
      </c>
      <c r="D3">
        <v>16645778361.233</v>
      </c>
      <c r="E3" t="s">
        <v>27</v>
      </c>
      <c r="F3">
        <v>40021588832.100304</v>
      </c>
    </row>
    <row r="4" spans="1:6" x14ac:dyDescent="0.2">
      <c r="A4" t="s">
        <v>28</v>
      </c>
      <c r="B4">
        <v>62902845742.316803</v>
      </c>
      <c r="C4" t="s">
        <v>28</v>
      </c>
      <c r="D4">
        <v>57579738860.381798</v>
      </c>
      <c r="E4" t="s">
        <v>28</v>
      </c>
      <c r="F4">
        <v>54814559338.4795</v>
      </c>
    </row>
    <row r="5" spans="1:6" x14ac:dyDescent="0.2">
      <c r="A5" t="s">
        <v>29</v>
      </c>
      <c r="B5">
        <v>0</v>
      </c>
      <c r="C5" t="s">
        <v>29</v>
      </c>
      <c r="D5">
        <v>1560011847.90974</v>
      </c>
      <c r="E5" t="s">
        <v>29</v>
      </c>
      <c r="F5">
        <v>2488419432.2652001</v>
      </c>
    </row>
    <row r="6" spans="1:6" x14ac:dyDescent="0.2">
      <c r="A6" t="s">
        <v>30</v>
      </c>
      <c r="B6">
        <v>0</v>
      </c>
      <c r="C6" t="s">
        <v>30</v>
      </c>
      <c r="D6">
        <v>0</v>
      </c>
      <c r="E6" t="s">
        <v>30</v>
      </c>
      <c r="F6">
        <v>0</v>
      </c>
    </row>
    <row r="7" spans="1:6" x14ac:dyDescent="0.2">
      <c r="A7" t="s">
        <v>31</v>
      </c>
      <c r="B7">
        <v>0</v>
      </c>
      <c r="C7" t="s">
        <v>31</v>
      </c>
      <c r="D7">
        <v>0</v>
      </c>
      <c r="E7" t="s">
        <v>31</v>
      </c>
      <c r="F7">
        <v>0</v>
      </c>
    </row>
    <row r="8" spans="1:6" x14ac:dyDescent="0.2">
      <c r="A8" t="s">
        <v>32</v>
      </c>
      <c r="B8">
        <v>1609535543.4735401</v>
      </c>
      <c r="C8" t="s">
        <v>32</v>
      </c>
      <c r="D8">
        <v>1376004199.21034</v>
      </c>
      <c r="E8" t="s">
        <v>32</v>
      </c>
      <c r="F8">
        <v>750263571.388924</v>
      </c>
    </row>
    <row r="9" spans="1:6" x14ac:dyDescent="0.2">
      <c r="A9" t="s">
        <v>48</v>
      </c>
      <c r="B9">
        <v>0</v>
      </c>
      <c r="C9" t="s">
        <v>48</v>
      </c>
      <c r="D9">
        <v>-3178881314.70156</v>
      </c>
      <c r="E9" t="s">
        <v>48</v>
      </c>
      <c r="F9">
        <v>-5277355619.2508602</v>
      </c>
    </row>
    <row r="10" spans="1:6" x14ac:dyDescent="0.2">
      <c r="A10" t="s">
        <v>33</v>
      </c>
      <c r="B10">
        <v>0</v>
      </c>
      <c r="C10" t="s">
        <v>33</v>
      </c>
      <c r="D10">
        <v>0</v>
      </c>
      <c r="E10" t="s">
        <v>33</v>
      </c>
      <c r="F10">
        <v>0</v>
      </c>
    </row>
    <row r="11" spans="1:6" x14ac:dyDescent="0.2">
      <c r="A11" t="s">
        <v>34</v>
      </c>
      <c r="B11">
        <v>9247913675.1285706</v>
      </c>
      <c r="C11" t="s">
        <v>34</v>
      </c>
      <c r="D11">
        <v>9416108401.6480694</v>
      </c>
      <c r="E11" t="s">
        <v>49</v>
      </c>
      <c r="F11">
        <v>948906415.62919199</v>
      </c>
    </row>
    <row r="12" spans="1:6" x14ac:dyDescent="0.2">
      <c r="A12" t="s">
        <v>35</v>
      </c>
      <c r="B12">
        <v>764139826.812922</v>
      </c>
      <c r="C12" t="s">
        <v>35</v>
      </c>
      <c r="D12">
        <v>1354416664.6808901</v>
      </c>
      <c r="E12" t="s">
        <v>50</v>
      </c>
      <c r="F12">
        <v>4827682052.6720304</v>
      </c>
    </row>
    <row r="13" spans="1:6" x14ac:dyDescent="0.2">
      <c r="A13" t="s">
        <v>36</v>
      </c>
      <c r="B13">
        <v>0</v>
      </c>
      <c r="C13" t="s">
        <v>36</v>
      </c>
      <c r="D13">
        <v>0</v>
      </c>
      <c r="E13" t="s">
        <v>34</v>
      </c>
      <c r="F13">
        <v>6741180922.37467</v>
      </c>
    </row>
    <row r="14" spans="1:6" x14ac:dyDescent="0.2">
      <c r="A14" t="s">
        <v>37</v>
      </c>
      <c r="B14">
        <v>69881556597.537903</v>
      </c>
      <c r="C14" t="s">
        <v>37</v>
      </c>
      <c r="D14">
        <v>85276809127.780197</v>
      </c>
      <c r="E14" t="s">
        <v>35</v>
      </c>
      <c r="F14">
        <v>2007810118.0980501</v>
      </c>
    </row>
    <row r="15" spans="1:6" x14ac:dyDescent="0.2">
      <c r="A15" t="s">
        <v>38</v>
      </c>
      <c r="B15">
        <v>0</v>
      </c>
      <c r="C15" t="s">
        <v>38</v>
      </c>
      <c r="D15">
        <v>0</v>
      </c>
      <c r="E15" t="s">
        <v>36</v>
      </c>
      <c r="F15">
        <v>0</v>
      </c>
    </row>
    <row r="16" spans="1:6" x14ac:dyDescent="0.2">
      <c r="A16" t="s">
        <v>86</v>
      </c>
      <c r="B16">
        <v>2918.6464716443902</v>
      </c>
      <c r="E16" t="s">
        <v>37</v>
      </c>
      <c r="F16">
        <v>58342527474.023903</v>
      </c>
    </row>
    <row r="17" spans="1:6" x14ac:dyDescent="0.2">
      <c r="E17" t="s">
        <v>38</v>
      </c>
      <c r="F17">
        <v>0</v>
      </c>
    </row>
    <row r="19" spans="1:6" x14ac:dyDescent="0.2">
      <c r="B19" s="10">
        <f>SUM(B3:B15)</f>
        <v>144405991385.26974</v>
      </c>
      <c r="D19" s="10">
        <f>SUM(D3:D15)</f>
        <v>170029986148.14249</v>
      </c>
      <c r="F19" s="10">
        <f>SUM(F3:F17)</f>
        <v>165665582537.78091</v>
      </c>
    </row>
    <row r="21" spans="1:6" x14ac:dyDescent="0.2">
      <c r="A21" t="s">
        <v>27</v>
      </c>
      <c r="B21" s="10" cm="1">
        <f t="array" ref="B21:B36">_xlfn.IFNA(_xlfn.XLOOKUP($A21:$A36, A3:A18, B3:B18), 0)/1000000000*(1.03)^5</f>
        <v>0</v>
      </c>
      <c r="D21" s="10" cm="1">
        <f t="array" ref="D21:D36">_xlfn.IFNA(_xlfn.XLOOKUP($A21:$A36, C3:C18, D3:D18), 0)/1000000000*(1.03)^5</f>
        <v>19.297019300721352</v>
      </c>
      <c r="F21" s="10" cm="1">
        <f t="array" ref="F21:F36">_xlfn.IFNA(_xlfn.XLOOKUP($A21:$A36, E3:E18, F3:F18), 0)/1000000000*(1.03)^5</f>
        <v>46.395990345348295</v>
      </c>
    </row>
    <row r="22" spans="1:6" x14ac:dyDescent="0.2">
      <c r="A22" t="s">
        <v>28</v>
      </c>
      <c r="B22" s="10">
        <v>72.921638268760006</v>
      </c>
      <c r="D22" s="10">
        <v>66.750698465804831</v>
      </c>
      <c r="F22" s="10">
        <v>63.545097535278231</v>
      </c>
    </row>
    <row r="23" spans="1:6" x14ac:dyDescent="0.2">
      <c r="A23" t="s">
        <v>29</v>
      </c>
      <c r="B23" s="10">
        <v>0</v>
      </c>
      <c r="D23" s="10">
        <v>1.808481290882596</v>
      </c>
      <c r="F23" s="10">
        <v>2.8847601338093711</v>
      </c>
    </row>
    <row r="24" spans="1:6" x14ac:dyDescent="0.2">
      <c r="A24" t="s">
        <v>30</v>
      </c>
      <c r="B24" s="10">
        <v>0</v>
      </c>
      <c r="D24" s="10">
        <v>0</v>
      </c>
      <c r="F24" s="10">
        <v>0</v>
      </c>
    </row>
    <row r="25" spans="1:6" x14ac:dyDescent="0.2">
      <c r="A25" t="s">
        <v>31</v>
      </c>
      <c r="B25" s="10">
        <v>0</v>
      </c>
      <c r="D25" s="10">
        <v>0</v>
      </c>
      <c r="F25" s="10">
        <v>0</v>
      </c>
    </row>
    <row r="26" spans="1:6" x14ac:dyDescent="0.2">
      <c r="A26" t="s">
        <v>32</v>
      </c>
      <c r="B26" s="10">
        <v>1.8658928272132353</v>
      </c>
      <c r="D26" s="10">
        <v>1.5951659942724794</v>
      </c>
      <c r="F26" s="10">
        <v>0.86976110720290667</v>
      </c>
    </row>
    <row r="27" spans="1:6" x14ac:dyDescent="0.2">
      <c r="A27" t="s">
        <v>48</v>
      </c>
      <c r="B27" s="10">
        <v>0</v>
      </c>
      <c r="D27" s="10">
        <v>-3.6851946934102173</v>
      </c>
      <c r="F27" s="10">
        <v>-6.117901550258944</v>
      </c>
    </row>
    <row r="28" spans="1:6" x14ac:dyDescent="0.2">
      <c r="A28" t="s">
        <v>33</v>
      </c>
      <c r="B28" s="10">
        <v>0</v>
      </c>
      <c r="D28" s="10">
        <v>0</v>
      </c>
      <c r="F28" s="10">
        <v>0</v>
      </c>
    </row>
    <row r="29" spans="1:6" x14ac:dyDescent="0.2">
      <c r="A29" t="s">
        <v>49</v>
      </c>
      <c r="B29">
        <v>0</v>
      </c>
      <c r="D29">
        <v>0</v>
      </c>
      <c r="F29" s="10">
        <v>1.1000426065758624</v>
      </c>
    </row>
    <row r="30" spans="1:6" x14ac:dyDescent="0.2">
      <c r="A30" t="s">
        <v>50</v>
      </c>
      <c r="B30">
        <v>0</v>
      </c>
      <c r="D30" s="10">
        <v>0</v>
      </c>
      <c r="F30" s="10">
        <v>5.5966066426260914</v>
      </c>
    </row>
    <row r="31" spans="1:6" x14ac:dyDescent="0.2">
      <c r="A31" t="s">
        <v>34</v>
      </c>
      <c r="B31" s="10">
        <v>10.720866564940984</v>
      </c>
      <c r="D31" s="10">
        <v>10.915850350829016</v>
      </c>
      <c r="F31" s="10">
        <v>7.8148762734747148</v>
      </c>
    </row>
    <row r="32" spans="1:6" x14ac:dyDescent="0.2">
      <c r="A32" t="s">
        <v>35</v>
      </c>
      <c r="B32" s="10">
        <v>0.88584749036431243</v>
      </c>
      <c r="D32" s="10">
        <v>1.5701401251644322</v>
      </c>
      <c r="F32" s="10">
        <v>2.3276022160282905</v>
      </c>
    </row>
    <row r="33" spans="1:6" x14ac:dyDescent="0.2">
      <c r="A33" t="s">
        <v>36</v>
      </c>
      <c r="B33" s="10">
        <v>0</v>
      </c>
      <c r="D33" s="10">
        <v>0</v>
      </c>
      <c r="F33" s="10">
        <v>0</v>
      </c>
    </row>
    <row r="34" spans="1:6" x14ac:dyDescent="0.2">
      <c r="A34" t="s">
        <v>37</v>
      </c>
      <c r="B34" s="10">
        <v>81.011876835253801</v>
      </c>
      <c r="D34" s="10">
        <v>98.85919396086517</v>
      </c>
      <c r="F34" s="10">
        <v>67.634979529771371</v>
      </c>
    </row>
    <row r="35" spans="1:6" x14ac:dyDescent="0.2">
      <c r="A35" t="s">
        <v>38</v>
      </c>
      <c r="B35" s="10">
        <v>0</v>
      </c>
      <c r="D35" s="10">
        <v>0</v>
      </c>
      <c r="F35" s="10">
        <v>0</v>
      </c>
    </row>
    <row r="36" spans="1:6" x14ac:dyDescent="0.2">
      <c r="A36" t="s">
        <v>86</v>
      </c>
      <c r="B36" s="10">
        <v>3.383511186624511E-6</v>
      </c>
      <c r="D36" s="10">
        <v>0</v>
      </c>
      <c r="F36" s="10">
        <v>0</v>
      </c>
    </row>
    <row r="37" spans="1:6" x14ac:dyDescent="0.2">
      <c r="B37" s="10">
        <f>SUM(_xlfn.ANCHORARRAY(B21))</f>
        <v>167.40612537004355</v>
      </c>
      <c r="D37" s="10">
        <f>SUM(_xlfn.ANCHORARRAY(D21))</f>
        <v>197.11135479512967</v>
      </c>
      <c r="E37" s="10"/>
      <c r="F37" s="10">
        <f>SUM(_xlfn.ANCHORARRAY(F21))</f>
        <v>192.05181483985618</v>
      </c>
    </row>
    <row r="38" spans="1:6" x14ac:dyDescent="0.2">
      <c r="F38" s="10"/>
    </row>
    <row r="39" spans="1:6" x14ac:dyDescent="0.2">
      <c r="A39" t="s">
        <v>54</v>
      </c>
      <c r="B39" t="s">
        <v>53</v>
      </c>
      <c r="C39" t="s">
        <v>4</v>
      </c>
      <c r="D39" t="s">
        <v>55</v>
      </c>
    </row>
    <row r="40" spans="1:6" x14ac:dyDescent="0.2">
      <c r="A40" t="str" cm="1">
        <f t="array" ref="A40:A55">A21:A36</f>
        <v>TotalGenCapitalCosts</v>
      </c>
      <c r="B40" s="10" cm="1">
        <f t="array" ref="B40:B55">D21:D36-B21:B36</f>
        <v>19.297019300721352</v>
      </c>
      <c r="C40" s="10" cm="1">
        <f t="array" ref="C40:C55">_xlfn.ANCHORARRAY(F21)-_xlfn.ANCHORARRAY(B21)</f>
        <v>46.395990345348295</v>
      </c>
      <c r="D40" s="10" cm="1">
        <f t="array" ref="D40:D55">_xlfn.ANCHORARRAY(B40)-_xlfn.ANCHORARRAY(C40)</f>
        <v>-27.098971044626943</v>
      </c>
    </row>
    <row r="41" spans="1:6" x14ac:dyDescent="0.2">
      <c r="A41" t="str">
        <v>TotalGenFixedOMCosts</v>
      </c>
      <c r="B41" s="10">
        <v>-6.170939802955175</v>
      </c>
      <c r="C41" s="10">
        <v>-9.3765407334817752</v>
      </c>
      <c r="D41" s="10">
        <v>3.2056009305266002</v>
      </c>
    </row>
    <row r="42" spans="1:6" x14ac:dyDescent="0.2">
      <c r="A42" t="str">
        <v>StorageEnergyFixedCost</v>
      </c>
      <c r="B42" s="10">
        <v>1.808481290882596</v>
      </c>
      <c r="C42" s="10">
        <v>2.8847601338093711</v>
      </c>
      <c r="D42" s="10">
        <v>-1.0762788429267751</v>
      </c>
    </row>
    <row r="43" spans="1:6" x14ac:dyDescent="0.2">
      <c r="A43" t="str">
        <v>TxFixedCosts</v>
      </c>
      <c r="B43" s="10">
        <v>0</v>
      </c>
      <c r="C43" s="10">
        <v>0</v>
      </c>
      <c r="D43" s="10">
        <v>0</v>
      </c>
    </row>
    <row r="44" spans="1:6" x14ac:dyDescent="0.2">
      <c r="A44" t="str">
        <v>LocalTDFixedCosts</v>
      </c>
      <c r="B44" s="10">
        <v>0</v>
      </c>
      <c r="C44" s="10">
        <v>0</v>
      </c>
      <c r="D44" s="10">
        <v>0</v>
      </c>
    </row>
    <row r="45" spans="1:6" x14ac:dyDescent="0.2">
      <c r="A45" t="str">
        <v>EmissionsCost</v>
      </c>
      <c r="B45" s="10">
        <v>-0.27072683294075595</v>
      </c>
      <c r="C45" s="10">
        <v>-0.99613172001032868</v>
      </c>
      <c r="D45" s="10">
        <v>0.72540488706957273</v>
      </c>
    </row>
    <row r="46" spans="1:6" x14ac:dyDescent="0.2">
      <c r="A46" t="str">
        <v>GenITC</v>
      </c>
      <c r="B46" s="10">
        <v>-3.6851946934102173</v>
      </c>
      <c r="C46" s="10">
        <v>-6.117901550258944</v>
      </c>
      <c r="D46" s="10">
        <v>2.4327068568487267</v>
      </c>
    </row>
    <row r="47" spans="1:6" x14ac:dyDescent="0.2">
      <c r="A47" t="str">
        <v>Gen_Fixed_OM_by_Period</v>
      </c>
      <c r="B47" s="10">
        <v>0</v>
      </c>
      <c r="C47" s="10">
        <v>0</v>
      </c>
      <c r="D47" s="10">
        <v>0</v>
      </c>
    </row>
    <row r="48" spans="1:6" x14ac:dyDescent="0.2">
      <c r="A48" t="str">
        <v>DRAnnualCost</v>
      </c>
      <c r="B48" s="10">
        <v>0</v>
      </c>
      <c r="C48" s="10">
        <v>1.1000426065758624</v>
      </c>
      <c r="D48" s="10">
        <v>-1.1000426065758624</v>
      </c>
    </row>
    <row r="49" spans="1:8" x14ac:dyDescent="0.2">
      <c r="A49" t="str">
        <v>EEAnnualCost</v>
      </c>
      <c r="B49" s="10">
        <v>0</v>
      </c>
      <c r="C49" s="10">
        <v>5.5966066426260914</v>
      </c>
      <c r="D49" s="10">
        <v>-5.5966066426260914</v>
      </c>
    </row>
    <row r="50" spans="1:8" x14ac:dyDescent="0.2">
      <c r="A50" t="str">
        <v>GenVariableOMCostsInTP</v>
      </c>
      <c r="B50" s="10">
        <v>0.19498378588803256</v>
      </c>
      <c r="C50" s="10">
        <v>-2.905990291466269</v>
      </c>
      <c r="D50" s="10">
        <v>3.1009740773543015</v>
      </c>
    </row>
    <row r="51" spans="1:8" x14ac:dyDescent="0.2">
      <c r="A51" t="str">
        <v>Total_StartupGenCapacity_OM_Costs</v>
      </c>
      <c r="B51" s="10">
        <v>0.68429263480011981</v>
      </c>
      <c r="C51" s="10">
        <v>1.4417547256639782</v>
      </c>
      <c r="D51" s="10">
        <v>-0.75746209086385841</v>
      </c>
    </row>
    <row r="52" spans="1:8" x14ac:dyDescent="0.2">
      <c r="A52" t="str">
        <v>NodeSpillageCosts</v>
      </c>
      <c r="B52" s="10">
        <v>0</v>
      </c>
      <c r="C52" s="10">
        <v>0</v>
      </c>
      <c r="D52" s="10">
        <v>0</v>
      </c>
    </row>
    <row r="53" spans="1:8" x14ac:dyDescent="0.2">
      <c r="A53" t="str">
        <v>FuelCostsPerTP</v>
      </c>
      <c r="B53" s="10">
        <v>17.847317125611369</v>
      </c>
      <c r="C53" s="10">
        <v>-13.37689730548243</v>
      </c>
      <c r="D53" s="10">
        <v>31.224214431093799</v>
      </c>
    </row>
    <row r="54" spans="1:8" x14ac:dyDescent="0.2">
      <c r="A54" t="str">
        <v>Gen_Variable_OM_by_Period</v>
      </c>
      <c r="B54" s="10">
        <v>0</v>
      </c>
      <c r="C54" s="10">
        <v>0</v>
      </c>
      <c r="D54" s="10">
        <v>0</v>
      </c>
    </row>
    <row r="55" spans="1:8" x14ac:dyDescent="0.2">
      <c r="A55" t="str">
        <v>UnservedLoadPenalty</v>
      </c>
      <c r="B55" s="10">
        <v>-3.383511186624511E-6</v>
      </c>
      <c r="C55" s="10">
        <v>-3.383511186624511E-6</v>
      </c>
      <c r="D55" s="10">
        <v>0</v>
      </c>
    </row>
    <row r="56" spans="1:8" x14ac:dyDescent="0.2">
      <c r="B56" s="10">
        <f>SUM(B40:B54)</f>
        <v>29.705232808597323</v>
      </c>
      <c r="C56" s="10">
        <f>SUM(C40:C54)</f>
        <v>24.645692853323858</v>
      </c>
      <c r="D56" s="10">
        <f>B56-C56</f>
        <v>5.0595399552734648</v>
      </c>
    </row>
    <row r="59" spans="1:8" x14ac:dyDescent="0.2">
      <c r="B59" t="s">
        <v>39</v>
      </c>
      <c r="C59" t="s">
        <v>51</v>
      </c>
      <c r="D59" t="s">
        <v>40</v>
      </c>
      <c r="E59" t="s">
        <v>41</v>
      </c>
      <c r="F59" t="s">
        <v>42</v>
      </c>
    </row>
    <row r="60" spans="1:8" x14ac:dyDescent="0.2">
      <c r="A60" t="s">
        <v>43</v>
      </c>
      <c r="B60" s="10">
        <f>B40+B42+B46</f>
        <v>17.420305898193732</v>
      </c>
      <c r="C60" s="10">
        <f>0</f>
        <v>0</v>
      </c>
      <c r="D60" s="10">
        <f>B50+B45+B51</f>
        <v>0.60854958774739643</v>
      </c>
      <c r="E60" s="10">
        <f>B53</f>
        <v>17.847317125611369</v>
      </c>
      <c r="F60" s="10">
        <f>B41</f>
        <v>-6.170939802955175</v>
      </c>
    </row>
    <row r="61" spans="1:8" x14ac:dyDescent="0.2">
      <c r="A61" t="s">
        <v>44</v>
      </c>
      <c r="B61" s="10">
        <f>C40+C42+C46</f>
        <v>43.162848928898725</v>
      </c>
      <c r="C61" s="10">
        <f>C48+C49</f>
        <v>6.696649249201954</v>
      </c>
      <c r="D61" s="10">
        <f>C50+C51+C45</f>
        <v>-2.4603672858126195</v>
      </c>
      <c r="E61" s="10">
        <f>C53</f>
        <v>-13.37689730548243</v>
      </c>
      <c r="F61" s="10">
        <f>C41</f>
        <v>-9.3765407334817752</v>
      </c>
    </row>
    <row r="63" spans="1:8" x14ac:dyDescent="0.2">
      <c r="B63" t="s">
        <v>3</v>
      </c>
      <c r="C63" t="s">
        <v>45</v>
      </c>
      <c r="D63" t="s">
        <v>52</v>
      </c>
      <c r="E63" t="s">
        <v>42</v>
      </c>
      <c r="F63" t="s">
        <v>40</v>
      </c>
      <c r="G63" t="s">
        <v>41</v>
      </c>
      <c r="H63" t="s">
        <v>4</v>
      </c>
    </row>
    <row r="64" spans="1:8" x14ac:dyDescent="0.2">
      <c r="B64" s="11"/>
      <c r="C64" s="12">
        <f>B56</f>
        <v>29.705232808597323</v>
      </c>
      <c r="D64" s="12">
        <f>C64+C66</f>
        <v>55.447775839302317</v>
      </c>
      <c r="E64" s="12">
        <f>D64+D66-E67</f>
        <v>58.93882415797767</v>
      </c>
      <c r="F64" s="12">
        <f>E64-F67</f>
        <v>56.338824157977669</v>
      </c>
      <c r="G64" s="12">
        <f>F64-G67</f>
        <v>25.11460972688387</v>
      </c>
      <c r="H64" s="10"/>
    </row>
    <row r="65" spans="1:8" x14ac:dyDescent="0.2">
      <c r="B65" s="11"/>
      <c r="C65" s="12"/>
      <c r="D65" s="12"/>
      <c r="E65" s="12"/>
      <c r="F65" s="12"/>
      <c r="G65" s="12"/>
      <c r="H65" s="10"/>
    </row>
    <row r="66" spans="1:8" x14ac:dyDescent="0.2">
      <c r="A66" t="s">
        <v>56</v>
      </c>
      <c r="B66" s="11"/>
      <c r="C66" s="12">
        <f>B61-B60</f>
        <v>25.742543030704994</v>
      </c>
      <c r="D66" s="12">
        <f>C61-C60</f>
        <v>6.696649249201954</v>
      </c>
      <c r="E66" s="12"/>
      <c r="F66" s="12"/>
      <c r="G66" s="12"/>
      <c r="H66" s="10"/>
    </row>
    <row r="67" spans="1:8" x14ac:dyDescent="0.2">
      <c r="A67" t="s">
        <v>57</v>
      </c>
      <c r="B67" s="11"/>
      <c r="C67" s="12"/>
      <c r="D67" s="12"/>
      <c r="E67" s="12">
        <f>-(F61-F60)</f>
        <v>3.2056009305266002</v>
      </c>
      <c r="F67" s="12">
        <v>2.6</v>
      </c>
      <c r="G67" s="12">
        <f>E60-E61</f>
        <v>31.224214431093799</v>
      </c>
      <c r="H67" s="10"/>
    </row>
    <row r="68" spans="1:8" x14ac:dyDescent="0.2">
      <c r="B68" s="11"/>
      <c r="C68" s="12"/>
      <c r="D68" s="12"/>
      <c r="E68" s="12"/>
      <c r="F68" s="12"/>
      <c r="G68" s="12">
        <f>(E61-E60)+G67</f>
        <v>0</v>
      </c>
      <c r="H68" s="10"/>
    </row>
    <row r="69" spans="1:8" x14ac:dyDescent="0.2">
      <c r="A69" t="s">
        <v>54</v>
      </c>
      <c r="B69" s="12">
        <f>B56</f>
        <v>29.705232808597323</v>
      </c>
      <c r="C69" s="10"/>
      <c r="D69" s="10"/>
      <c r="E69" s="10"/>
      <c r="F69" s="10"/>
      <c r="G69" s="11"/>
      <c r="H69" s="12">
        <f>C56</f>
        <v>24.645692853323858</v>
      </c>
    </row>
  </sheetData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EF3AF50F2594E8CFB88B65572827E" ma:contentTypeVersion="10" ma:contentTypeDescription="Create a new document." ma:contentTypeScope="" ma:versionID="a33f5ba277e803051ddec0c2f3ebdf97">
  <xsd:schema xmlns:xsd="http://www.w3.org/2001/XMLSchema" xmlns:xs="http://www.w3.org/2001/XMLSchema" xmlns:p="http://schemas.microsoft.com/office/2006/metadata/properties" xmlns:ns2="a92bd8f1-c682-480b-a293-fac44964c998" targetNamespace="http://schemas.microsoft.com/office/2006/metadata/properties" ma:root="true" ma:fieldsID="eb62609f8c3c2c61753a70ad7027dc26" ns2:_="">
    <xsd:import namespace="a92bd8f1-c682-480b-a293-fac44964c9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bd8f1-c682-480b-a293-fac44964c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A9D491-E03A-421C-B6F3-5D2EA00B8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2bd8f1-c682-480b-a293-fac44964c9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48F170-077B-413D-A1EC-161C2CABA9B6}">
  <ds:schemaRefs>
    <ds:schemaRef ds:uri="http://schemas.microsoft.com/office/infopath/2007/PartnerControls"/>
    <ds:schemaRef ds:uri="http://schemas.microsoft.com/office/2006/documentManagement/types"/>
    <ds:schemaRef ds:uri="a92bd8f1-c682-480b-a293-fac44964c998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A4F7F21-2065-4803-A172-E40CA7DEEAC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Capacity &amp; Generation</vt:lpstr>
      <vt:lpstr>Overall cost comp</vt:lpstr>
      <vt:lpstr>Emissions</vt:lpstr>
      <vt:lpstr>Waterfall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Solomon</dc:creator>
  <cp:keywords/>
  <dc:description/>
  <cp:lastModifiedBy>Matthias Fripp</cp:lastModifiedBy>
  <cp:revision/>
  <dcterms:created xsi:type="dcterms:W3CDTF">2026-05-11T22:35:18Z</dcterms:created>
  <dcterms:modified xsi:type="dcterms:W3CDTF">2026-06-25T05:03:46Z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0x0101003E2EF3AF50F2594E8CFB88B65572827E</vt:lpwstr>
  </property>
</Properties>
</file>